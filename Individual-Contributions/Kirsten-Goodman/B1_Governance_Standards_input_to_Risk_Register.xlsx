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kirstengoodman/Library/Mobile Documents/com~apple~CloudDocs/Documents/Training and Development/AI Enterprise Risk (OX)/Claude/Group Exercise/Group Exercise Output/"/>
    </mc:Choice>
  </mc:AlternateContent>
  <xr:revisionPtr revIDLastSave="0" documentId="13_ncr:1_{8E7F8092-BC77-4F4B-B384-4E08C6B08A76}" xr6:coauthVersionLast="47" xr6:coauthVersionMax="47" xr10:uidLastSave="{00000000-0000-0000-0000-000000000000}"/>
  <bookViews>
    <workbookView xWindow="-23840" yWindow="-20980" windowWidth="35040" windowHeight="19360" tabRatio="500" xr2:uid="{00000000-000D-0000-FFFF-FFFF00000000}"/>
  </bookViews>
  <sheets>
    <sheet name="Cover" sheetId="1" r:id="rId1"/>
    <sheet name="B1 Governance Risk Register" sheetId="2" r:id="rId2"/>
    <sheet name="Assumptions Registe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2" l="1"/>
  <c r="K13" i="2"/>
  <c r="K12" i="2"/>
  <c r="K11" i="2"/>
  <c r="K10" i="2"/>
  <c r="K9" i="2"/>
  <c r="K8" i="2"/>
  <c r="K7" i="2"/>
  <c r="K6" i="2"/>
  <c r="K5" i="2"/>
  <c r="K4" i="2"/>
  <c r="K3" i="2"/>
</calcChain>
</file>

<file path=xl/sharedStrings.xml><?xml version="1.0" encoding="utf-8"?>
<sst xmlns="http://schemas.openxmlformats.org/spreadsheetml/2006/main" count="363" uniqueCount="331">
  <si>
    <t>DELIVERABLE B1 — AI GOVERNANCE RISK REGISTER EXTRACT</t>
  </si>
  <si>
    <t>Nordhaven–LumaPay AI Risk Task Force</t>
  </si>
  <si>
    <t>Governance &amp; Standards Contribution to Deliverable B (Technical Appendix)</t>
  </si>
  <si>
    <t>Deliverable</t>
  </si>
  <si>
    <t>B1 — AI Risk Register Extract (Governance Domain)</t>
  </si>
  <si>
    <t>Scope</t>
  </si>
  <si>
    <t>10–12 governance-domain risk entries per Brief Slides (Deliverable B)</t>
  </si>
  <si>
    <t>Risk Domain</t>
  </si>
  <si>
    <t>Governance Risk (EAIRM Framework §5.1)</t>
  </si>
  <si>
    <t>Systems in Scope</t>
  </si>
  <si>
    <t>LumaCredit-EU · LumaAssist Chat · AutoUnderwriter Agent · FraudShield</t>
  </si>
  <si>
    <t>Field Structure</t>
  </si>
  <si>
    <t>Per Kok, Day 3 Sess 2 (Slide p.29) + Yemi, Day 4 Sess 2 (Slides p.20–21 likelihood/impact scales; p.28 register format) + Brief Slides requirements</t>
  </si>
  <si>
    <t>Taxonomy Reference</t>
  </si>
  <si>
    <t>EAIRM Detailed Risk Taxonomy · EAIRM Glossary (definitive)</t>
  </si>
  <si>
    <t>KRI Source</t>
  </si>
  <si>
    <t>Yemi Adeniran, Day 4 Sess 2, Slides p.47 (40-KRI framework across four vectors: AI-01–AI-10 Model; AI-11–AI-20 Data; AI-21–AI-30 Security; AI-31–AI-40 Governance)</t>
  </si>
  <si>
    <t>Risk Scoring</t>
  </si>
  <si>
    <t>Likelihood × Impact (1–5 scale per Yemi, Day 4 Sess 2, Slides p.20–21); Risk Score = L × I; Risk Level: Moderate / High / Very High / Critical (Yemi, Day 4 Sess 2 — four-band 5×5 matrix)</t>
  </si>
  <si>
    <t>Velocity Definition</t>
  </si>
  <si>
    <t>Rate at which a risk event can escalate from initial occurrence to material impact. Particularly relevant for AI risks due to scale asymmetry. (EAIRM Glossary, Artefacts §H)</t>
  </si>
  <si>
    <t>Risk Level Banding</t>
  </si>
  <si>
    <t>CRITICAL: Score 20–25 · VERY HIGH: Score 15–19 · HIGH: Score 10–14 · MODERATE: Score 1–9. Four-band system per Yemi, Day 4 Sess 2 (moderate, high, very high, critical). Source: Slides p.21 &amp; example register p.28.</t>
  </si>
  <si>
    <t>Taxonomy Classification Note</t>
  </si>
  <si>
    <t>AI Lifecycle Stages</t>
  </si>
  <si>
    <t>Assumptions</t>
  </si>
  <si>
    <t>Cross-Reference</t>
  </si>
  <si>
    <t>Risk IDs link to G0 Executive Summary (Deliverable A); Standards link to S1 Traceability Matrix</t>
  </si>
  <si>
    <t>Board Pack Linkage</t>
  </si>
  <si>
    <t>Board Risk Dashboard (Deliverable A, G3 Reporting Choice 3; EAIRM §10.3)</t>
  </si>
  <si>
    <t>General Knowledge Flags</t>
  </si>
  <si>
    <t>⚠ A7: Consumer Duty detailed obligations = general knowledge; flagged inline throughout</t>
  </si>
  <si>
    <t>Date</t>
  </si>
  <si>
    <t>May 2026</t>
  </si>
  <si>
    <t>B1 — AI GOVERNANCE RISK REGISTER EXTRACT  ·  Nordhaven–LumaPay M&amp;A AI Risk Task Force</t>
  </si>
  <si>
    <t>Risk ID</t>
  </si>
  <si>
    <t>Risk Title</t>
  </si>
  <si>
    <t>Risk Description</t>
  </si>
  <si>
    <t>EAIRM Taxonomy Category</t>
  </si>
  <si>
    <t>Governance Risk Sub-Domain (§5.1)</t>
  </si>
  <si>
    <t>Risk Substrate Properties</t>
  </si>
  <si>
    <t>Affected System(s)</t>
  </si>
  <si>
    <t>Lifecycle Stage(s)</t>
  </si>
  <si>
    <t>L
(1–5)</t>
  </si>
  <si>
    <t>I
(1–5)</t>
  </si>
  <si>
    <t>Risk
Score</t>
  </si>
  <si>
    <t>Risk Level</t>
  </si>
  <si>
    <t>Velocity</t>
  </si>
  <si>
    <t>Named Control Owner</t>
  </si>
  <si>
    <t>Current Control State</t>
  </si>
  <si>
    <t>Proposed Control / Treatment</t>
  </si>
  <si>
    <t>Residual Risk</t>
  </si>
  <si>
    <t>KRI Reference
(Yemi, Day 4 Sess 2)</t>
  </si>
  <si>
    <t>Regulatory Trigger
(Notification obligations)</t>
  </si>
  <si>
    <t>Appetite Statement Ref
(G4 board pack)</t>
  </si>
  <si>
    <t>Standards Traceability</t>
  </si>
  <si>
    <t>Board Pack
Linkage</t>
  </si>
  <si>
    <t>Review
Cadence</t>
  </si>
  <si>
    <t>Course Source / Citation</t>
  </si>
  <si>
    <t>GR-01</t>
  </si>
  <si>
    <t>Accountability Vacuum at Day 1 Close</t>
  </si>
  <si>
    <t>No named governance owner exists for LumaPay's AI estate at close. Nordhaven inherits full regulatory accountability for all four AI systems with no RACI, no board-approved risk appetite statement, and no documented decision rights at any lifecycle stage. This is the root governance failure that amplifies every other risk.</t>
  </si>
  <si>
    <t>Governance Risk (EAIRM §5.1)
Board Accountability &amp; Oversight
[Note: purely governance institutional failure — no A1-A9 taxonomy code applicable; see Taxonomy Note on Cover sheet]</t>
  </si>
  <si>
    <t>Board Accountability &amp; Oversight</t>
  </si>
  <si>
    <t>Scale Asymmetry; Opacity</t>
  </si>
  <si>
    <t>All four systems
(LumaCredit-EU, LumaAssist Chat, AutoUnderwriter Agent, FraudShield)</t>
  </si>
  <si>
    <t>All lifecycle stages
(Design and Intent → Retirement)</t>
  </si>
  <si>
    <t>Critical</t>
  </si>
  <si>
    <t>HIGH</t>
  </si>
  <si>
    <t>Proposed: Named SMF-designated role (Group CRO or equivalent)
⚠ Assumption: 'Group CRO' is proposed assignment — not stated in brief. Grounded in Kok, Day 3 Sess 2, Slide p.15 (SMCR anticipated requirements).</t>
  </si>
  <si>
    <t>None evidenced at LumaPay. Nordhaven has governance architecture but not yet applied to acquired estate.</t>
  </si>
  <si>
    <t>1. Appoint named SMF-designated accountability owner by Day 1 (G6, Days 1–30).
2. Establish interim RACI across all four systems and six lifecycle stages.
3. Draft unified AI Risk Appetite Statement with LIMIT/CAUTION/TARGET bands.
Source: NIST AI RMF GOVERN 2; ISO/IEC 42001 Cl.5–6; Kok, Day 3 Sess 2 (Slide p.36).</t>
  </si>
  <si>
    <t>High (accountability gap persists until RACI and ownership formally assigned)</t>
  </si>
  <si>
    <t>AI-31: % of AI use cases without governance approval (Yemi, Day 4 Sess 2, AI Governance &amp; Compliance vector, Slides p.47)
Tolerance: 0% — out of tolerance at 100%</t>
  </si>
  <si>
    <t>SMCR Sup 15.3 (AI risk event without named SMF owner — anticipated requirement per Kok, Day 3 Sess 2, Slide p.15)
EU AI Act Art. 62 (if incident occurs without governance accountability)
ISO/IEC 42001 Cl.5 non-conformance</t>
  </si>
  <si>
    <t>G4: All five substrate properties — Scale Asymmetry (TARGET band not met)
Risk exceeds LIMIT threshold for governance accountability</t>
  </si>
  <si>
    <t>NIST AI RMF GOVERN 2
ISO/IEC 42001 Cl.5 (Leadership)
UK Corporate Governance Code
COSO ERM
EAIRM §5.1 (Board Accountability)</t>
  </si>
  <si>
    <t>G0: GR-01
G3: Choice 1 (Accountability)
G6: Days 1–30</t>
  </si>
  <si>
    <t>Quarterly review; monthly KRI check (Yemi, Day 4 Sess 2)</t>
  </si>
  <si>
    <t>GR-02</t>
  </si>
  <si>
    <t>Shadow AI Regulatory Liability</t>
  </si>
  <si>
    <t>Unknown extent of AI tools built or used at LumaPay outside formal governance. These systems are invisible to auditors, still affecting customers, and carry full EU AI Act and UK consumer protection liability for Nordhaven from Day 1. No shadow AI discovery exercise completed pre-close. No transition services agreement in place.</t>
  </si>
  <si>
    <t>Governance Risk (EAIRM §5.1)
Board Accountability &amp; Oversight
Regulatory Compliance
[Note: purely governance institutional failure — no A1-A9 taxonomy code applicable; see Taxonomy Note on Cover sheet]</t>
  </si>
  <si>
    <t>Board Accountability &amp; Oversight
Regulatory Compliance</t>
  </si>
  <si>
    <t>Opacity; Scale Asymmetry</t>
  </si>
  <si>
    <t>Unknown — shadow AI by definition
(Any LumaPay department: sales, IT, operations)</t>
  </si>
  <si>
    <t>Design and Intent → Deployment
(Systems at any undiscovered stage)</t>
  </si>
  <si>
    <t>Proposed: AI Governance Function (2nd Line) — discovery exercise lead
Business unit heads (1st Line) — mandatory disclosure</t>
  </si>
  <si>
    <t>Critical (full extent unknown until discovery completed; residual risk cannot be assessed until inventory complete)</t>
  </si>
  <si>
    <t>AI-31: % of AI use cases without governance approval (Yemi, Day 4 Sess 2, Slides p.47)
AI-01: % of AI models without documented risk assessment
Both: 0% tolerance — currently out of tolerance</t>
  </si>
  <si>
    <t>EU AI Act Art. 6–7 (classification not possible for undiscovered systems)
EU AI Act Art. 62 (if undiscovered system causes serious incident)
UK Consumer protection (if undiscovered system affects customers)
⚠ A7: Consumer Duty detailed obligations = general knowledge flag</t>
  </si>
  <si>
    <t>G4: Opacity (LIMIT — zero tolerance); Scale Asymmetry (TARGET band not met during integration period)</t>
  </si>
  <si>
    <t>NIST AI RMF MAP
EU AI Act Art. 6–7
ISO/IEC 42001 Cl.4 (Context)
EAIRM §5.1</t>
  </si>
  <si>
    <t>G0: GR-02
DD: Artefact 1
G6: Days 1–30</t>
  </si>
  <si>
    <t>Monthly until discovery complete; then quarterly</t>
  </si>
  <si>
    <t>GR-03</t>
  </si>
  <si>
    <t>LumaCredit-EU EU AI Act Conformity Failure</t>
  </si>
  <si>
    <t>LumaCredit-EU is classified as high-risk under EU AI Act (Annex III — credit scoring / essential private services) but lacks conformity assessment evidence, complete model cards, and a documented risk management system meeting Art. 9 requirements. Non-compliance is a pre-close confirmed gap. Bıçakçı explicitly states data quality, model drift, explainability, and documentation must be governed 'through the full lifecycle'.</t>
  </si>
  <si>
    <t>Governance Risk (EAIRM §5.1)
Regulatory Compliance
Explainability Risk (Taxonomy A7)
[Risk of AI — technical system failing to meet transparency/explainability requirements]</t>
  </si>
  <si>
    <t>Regulatory Compliance
Transparency &amp; Explainability</t>
  </si>
  <si>
    <t>Opacity; Drift</t>
  </si>
  <si>
    <t>LumaCredit-EU</t>
  </si>
  <si>
    <t>Head of AI Assurance / Data Protection Officer
Nominated EU AI Act Compliance Lead</t>
  </si>
  <si>
    <t>1. Complete model card documentation (Days 31–60, G6).
2. Initiate EU AI Act Art. 9 conformity assessment (Days 61–100, G6).
3. Implement explainability record per GDPR Art. 22 / EU AI Act Art. 13–14.
4. Establish post-market monitoring per EU AI Act Art. 9(9).
Source: Brief Slides; EAIRM §5.1; EU AI Act Art. 9.</t>
  </si>
  <si>
    <t>High (conformity assessment initiation reduces risk; full compliance requires sustained programme)</t>
  </si>
  <si>
    <t>AI-01: % of AI models without documented risk assessment (Yemi, Day 4 Sess 2, Slides p.47)
Tolerance: ≤5% — likely at 100% for LumaCredit-EU pre-close; critically out of tolerance</t>
  </si>
  <si>
    <t>EU AI Act Art. 62 (serious incident — 15-day reporting)
EU AI Act Art. 9 non-conformance (national supervisory authority enforcement)
GDPR Art. 22 (right to explanation for automated credit decisions)
EAIRM §10.1 (Post-Market Monitoring obligation)</t>
  </si>
  <si>
    <t>G4: Opacity (LIMIT — zero tolerance for unexplainable credit decisions)
G4: Drift (CAUTION — prediction drift &gt;5% triggers mandatory re-validation)</t>
  </si>
  <si>
    <t>EU AI Act Art. 6–7 (Annex III)
EU AI Act Art. 9 (risk management system)
EU AI Act Art. 10 (data governance)
EU AI Act Art. 13–14 (transparency &amp; oversight)
EU AI Act Art. 9(9) (post-market monitoring)
ISO/IEC 42001 Cl.8 (Operation)
NIST AI RMF MAP</t>
  </si>
  <si>
    <t>G0: GR-03
DD: Artefacts 1 &amp; 2
G6: Days 31–60 (classification); Days 61–100 (conformity)</t>
  </si>
  <si>
    <t>Monthly (KRI); quarterly (governance review); annual (conformity assessment renewal)</t>
  </si>
  <si>
    <t>GR-04</t>
  </si>
  <si>
    <t>AutoUnderwriter Agent — HITL Controls Absent</t>
  </si>
  <si>
    <t>AutoUnderwriter Agent operates as an agentic workflow across multiple models and tools in a regulated financial environment. No evidenced Human-in-the-Loop (HITL) controls. EU AI Act Art. 14 human oversight obligations are unmet. Brief Slides confirm conventional governance controls are 'least mature' for agentic workflows. Manikam confirmed HITL is mandatory for regulated decisions in this context.</t>
  </si>
  <si>
    <t>Governance Risk (EAIRM §5.1)
Regulatory Compliance
Transparency &amp; Explainability
Autonomy Risk (Taxonomy A3)
[Risk of AI — system acts independently in ways humans cannot fully predict or control]</t>
  </si>
  <si>
    <t>Autonomy; Scale Asymmetry</t>
  </si>
  <si>
    <t>AutoUnderwriter Agent</t>
  </si>
  <si>
    <t>Deployment → Monitoring</t>
  </si>
  <si>
    <t>Head of AI Assurance (2nd Line)
AI System Owner / Business Owner (1st Line — proposed)</t>
  </si>
  <si>
    <t>No HITL controls evidenced. Agentic governance controls confirmed least mature category per Brief Slides.</t>
  </si>
  <si>
    <t>High (HITL implementation reduces but does not eliminate agentic governance gap)</t>
  </si>
  <si>
    <t>KRI AI-06: % of high-risk AI use cases without HITL controls (Yemi, Day 4 Sess 2, Slides p.47)
Tolerance: 0% — currently out of tolerance at 100%
Trigger: Any value &gt; 0% → halt</t>
  </si>
  <si>
    <t>EU AI Act Art. 14 (human oversight for high-risk systems)
EU AI Act Art. 62 (if autonomous decision causes serious incident)
FCA Consumer Duty (regulated decisions must meet consumer understanding outcome)
⚠ A7: Consumer Duty detailed obligations = general knowledge flag</t>
  </si>
  <si>
    <t>G4: Autonomy (LIMIT — HITL mandatory for all regulated decisions; 0% tolerance)</t>
  </si>
  <si>
    <t>EU AI Act Art. 14 (human oversight)
NIST AI RMF GOVERN 2 (decision rights)
ISO/IEC 42001 Cl.8 (Operation)
EAIRM §5.1 (Governance Risk)</t>
  </si>
  <si>
    <t>G0: GR-04
DD: Artefact 7
G6: Days 61–100 (HITL implementation)</t>
  </si>
  <si>
    <t>Monthly KRI; quarterly governance cycle</t>
  </si>
  <si>
    <t>GR-05</t>
  </si>
  <si>
    <t>Talent Flight / Orphaned Lifecycle Ownership</t>
  </si>
  <si>
    <t>Governance Risk (EAIRM §5.1)
Board Accountability &amp; Oversight
[Note: purely governance institutional failure — no A1-A9 taxonomy code applicable; see Taxonomy Note on Cover sheet. Closest taxonomy alignment: B4 Institutional Fragility Risk]</t>
  </si>
  <si>
    <t>Opacity; Scale Asymmetry
(Orphaned models become invisible to governance)</t>
  </si>
  <si>
    <t>All four systems
(Most acute: AutoUnderwriter Agent &amp; LumaCredit-EU)</t>
  </si>
  <si>
    <t>All lifecycle stages
(Acute risk: Monitoring → Retirement)</t>
  </si>
  <si>
    <t>Head of AI Governance (2nd Line — RACI assignment)
HR / People Function (1st Line — retention)
Group CRO (board accountability)</t>
  </si>
  <si>
    <t>None. No binding contracts. No RACI documented. Knowledge held in individuals with no succession planning evidenced.</t>
  </si>
  <si>
    <t>High (RACI assignment reduces risk; knowledge transfer remains longer-term programme)</t>
  </si>
  <si>
    <t>% of in-scope AI systems with no named lifecycle owner (proposed — grounded in RACI Model, Glossary §B)
Tolerance: 0% — trigger: any system without a named owner at any lifecycle stage
AI-01: % of AI models without documented risk assessment (proxy for orphaned model risk)
(Yemi, Day 4 Sess 2, Slides p.47)</t>
  </si>
  <si>
    <t>SMCR Sup 15.3 (if named SMF cannot demonstrate accountability for material AI system — anticipated requirement per Kok, Day 3 Sess 2, Slide p.15)
EU AI Act Art. 9 (ongoing risk management system requires accountable owner post-deployment)</t>
  </si>
  <si>
    <t>G4: All five substrate properties — governance owner absence amplifies every appetite threshold</t>
  </si>
  <si>
    <t>ISO/IEC 42001 Cl.5 (Leadership — competence, roles, responsibilities)
NIST AI RMF GOVERN 2 (accountability structures)
RACI Model (Glossary §B)
EAIRM §5.1 (Board Accountability)
AI Lifecycle (Glossary §A — six stages)</t>
  </si>
  <si>
    <t>G0: GR-05
DD: Artefact 8
G6: Days 1–30 (interim RACI)</t>
  </si>
  <si>
    <t>Monthly during integration period; quarterly thereafter</t>
  </si>
  <si>
    <t>GR-06</t>
  </si>
  <si>
    <t>FraudShield Change-of-Control / Dependency Cliff</t>
  </si>
  <si>
    <t>FraudShield is a third-party fraud detection model with confirmed dependency and supply-chain risks. The Brief Slides explicitly state it is governed by ISO/IEC 27036 (supplier relationships) and DORA. Change-of-control clause status in the vendor contract is unconfirmed pre-close. If triggered at close, Nordhaven could lose fraud detection capability within days, leaving the consumer credit product with no primary fraud control.</t>
  </si>
  <si>
    <t>Governance Risk (EAIRM §5.1)
Third-Party / Vendor Governance
Dependency Risk (Taxonomy A9)
[Risk of AI — systems become dependent on external vendors the organisation does not control]</t>
  </si>
  <si>
    <t>Third-Party / Vendor Governance</t>
  </si>
  <si>
    <t>Dependency</t>
  </si>
  <si>
    <t>FraudShield
(Third-party vendor)</t>
  </si>
  <si>
    <t>Deployment → Monitoring
(Contract risk materialises at close)</t>
  </si>
  <si>
    <t>Very High</t>
  </si>
  <si>
    <t>Head of Vendor Governance / Procurement
Group CRO (accountability for ICT third-party risk)</t>
  </si>
  <si>
    <t>Contract review not yet completed. Change-of-control clause status unconfirmed. No interim fallback for FraudShield identified.
⚠ Assumption A2: DORA applied as Nordhaven group benchmark — grounded in course (Bıçakçı flags DORA; Nordhaven is EU bank).</t>
  </si>
  <si>
    <t>Medium (post-contract audit with verified SLA and fallback)</t>
  </si>
  <si>
    <t>Vendor concentration ratio for critical fraud detection
SLA breach frequency
Contract audit completion: 0% tolerance for unaudited critical ICT provider
(Yemi, Day 4 Sess 2, KRI framework — vendor concentration)
Tolerance: contract audit must be complete before close</t>
  </si>
  <si>
    <t>DORA Art. 19 (major ICT incident reporting if FraudShield access lost)
DORA Art. 28–30 (ICT third-party governance obligation)
⚠ A2: DORA applied as group benchmark for UK entity — stated assumption</t>
  </si>
  <si>
    <t>G4: Dependency (CAUTION — single vendor concentration must not exceed agreed threshold; SLA and fallback required)</t>
  </si>
  <si>
    <t>DORA Art. 28–30 (vendor assessment, concentration risk, contractual safeguards)
ISO/IEC 27036 (supplier relationships — explicitly cited in Brief Slides for FraudShield)
Taxonomy A9 (Dependency Risk)
NIST AI RMF MAP (dependency mapping)
EAIRM §5.1 (Third-Party / Vendor Governance)</t>
  </si>
  <si>
    <t>G0: GR-06
DD: Artefact 5
G6: Days 31–60 (vendor contract audit)</t>
  </si>
  <si>
    <t>Monthly (contract review); quarterly (vendor assessment)</t>
  </si>
  <si>
    <t>GR-07</t>
  </si>
  <si>
    <t>Decision Rights Gap — No RACI Across Four Systems</t>
  </si>
  <si>
    <t>No RACI model has been documented for any of the four LumaPay AI systems across the six AI lifecycle stages. There is no documented authority for who can approve, modify, escalate, or halt any AI system at any point. The brief explicitly requires the combined entity to address 'who approves model deployments' and 'who owns the risk register'. Without a RACI, all four systems operate without governance accountability at any lifecycle stage.</t>
  </si>
  <si>
    <t>Board Accountability &amp; Oversight
Decision Rights</t>
  </si>
  <si>
    <t>All four systems</t>
  </si>
  <si>
    <t>All six lifecycle stages
(Design and Intent through Retirement)</t>
  </si>
  <si>
    <t>MEDIUM</t>
  </si>
  <si>
    <t>AI Governance Function (2nd Line — responsible for establishing Decision Rights framework)
Group CRO (accountable for approval at board tier)</t>
  </si>
  <si>
    <t>None at LumaPay. Nordhaven has operating RACI (G2 assessment) but not yet applied to LumaPay systems.</t>
  </si>
  <si>
    <t>1. Unified RACI covering all four systems across six lifecycle stages — established by Days 1–30 (G6).
2. Tier-based approval authority: board ▸ ExCo ▸ business unit (G3 Choice 4).
3. Decision rights table published and communicated by Days 61–100.
Source: Kok, Day 3 Sess 2 (Decision Rights table, Slide p.24); NIST AI RMF GOVERN 2.</t>
  </si>
  <si>
    <t>High (residual risk remains high until RACI formally implemented and tested)</t>
  </si>
  <si>
    <t>AI-31: % of AI use cases without governance approval (Yemi, Day 4 Sess 2, Slides p.47)
% of lifecycle stages with no named decision authority
Tolerance: 0% for any lifecycle stage without a named owner</t>
  </si>
  <si>
    <t>SMCR Sup 15.3 (accountability without documented decision rights unacceptable — anticipated, Kok, Day 3 Sess 2, Slide p.15)
EU AI Act Art. 9 (risk management system requires clear ownership)</t>
  </si>
  <si>
    <t>G4: All five substrate properties — without decision rights, no appetite threshold can be operationally enforced</t>
  </si>
  <si>
    <t>NIST AI RMF GOVERN 2
ISO/IEC 42001 Cl.5 (Leadership)
RACI Model (Glossary §B)
EAIRM §5.1 (Board Accountability)
Kok, Day 3 Sess 2 (Decision Rights table, Slide p.24)</t>
  </si>
  <si>
    <t>G0: GR-01 (parent)
G3: Choice 4 (Decision Rights)
G6: Days 1–30</t>
  </si>
  <si>
    <t>Monthly during integration period</t>
  </si>
  <si>
    <t>GR-08</t>
  </si>
  <si>
    <t>LumaCredit-EU / LumaAssist — Explainability &amp; Transparency Failure</t>
  </si>
  <si>
    <t>Neither LumaCredit-EU nor LumaAssist Chat has evidenced explainability controls meeting GDPR Art. 22 (right not to be subject to solely automated decisions without explanation) or EU AI Act Art. 13–14 (transparency and human oversight obligations). For LumaCredit-EU, every automated credit decision without a documented explanation is a live regulatory violation from Day 1 of close.</t>
  </si>
  <si>
    <t>Governance Risk (EAIRM §5.1)
Transparency &amp; Explainability
Explainability Risk (Taxonomy A7)
[Risk of AI — humans cannot understand or verify the reasoning process]</t>
  </si>
  <si>
    <t>Transparency &amp; Explainability
Regulatory Compliance</t>
  </si>
  <si>
    <t>Opacity</t>
  </si>
  <si>
    <t>LumaCredit-EU
LumaAssist Chat</t>
  </si>
  <si>
    <t>Deployment → Monitoring
(Live obligation on every customer interaction)</t>
  </si>
  <si>
    <t>1. Implement explanation record generation per GDPR Art. 22 / EU AI Act Art. 13 for all LumaCredit-EU automated decisions.
2. LumaAssist Chat: implement AI disclosure per EU AI Act Art. 14.
3. Explainability testing required at deployment and post-drift remediation.
Source: EU AI Act Art. 13–14; GDPR Art. 22; NIST AI RMF GOVERN (Trustworthiness).</t>
  </si>
  <si>
    <t>High (explanation mechanism reduces violation rate; ongoing monitoring required)</t>
  </si>
  <si>
    <t>AI Governance &amp; Compliance vector (AI-31–AI-40): % of high-risk AI use cases without explainability documentation &gt; 0% → escalate (Yemi, Day 4 Sess 2, Slides p.47)
Tolerance: 0% — out of tolerance</t>
  </si>
  <si>
    <t>GDPR Art. 33/34 (breach notification if Art. 22 violation leads to data incident)
EU AI Act Art. 62 (serious incident if automated decision causes harm)
FCA Sup 15.3 (AI risk event for UK customers — anticipated, Kok, Day 3 Sess 2, Slide p.15)
⚠ A7: Consumer Duty 'consumer understanding' outcome = general knowledge flag</t>
  </si>
  <si>
    <t>G4: Opacity (LIMIT — zero tolerance for unexplainable automated credit decisions)</t>
  </si>
  <si>
    <t>GDPR Art. 22
EU AI Act Art. 13–14
NIST AI RMF GOVERN (Trustworthiness)
ISO/IEC 42001 Cl.8 (Operation)
EAIRM §5.1 (Transparency &amp; Explainability)</t>
  </si>
  <si>
    <t>G0: GR-03 (related)
S1: EU AI Act, GDPR, ISO/IEC 27701 rows
DD: Artefact 2</t>
  </si>
  <si>
    <t>Monthly KRI; quarterly governance review</t>
  </si>
  <si>
    <t>GR-09</t>
  </si>
  <si>
    <t>Cross-Border Data Flow Governance Gap</t>
  </si>
  <si>
    <t>Bıçakçı explicitly confirms: 'data will start flowing into US-hosted cloud regions, raising immediate questions on the GDPR, UK DPA'. The 12–18 month parallel operations period on mixed EU, UK, and US infrastructure creates immediate GDPR Art. 46 cross-border transfer obligations. Data Processing Agreements (DPAs) under GDPR Art. 28 are required for any processor arrangement. Their pre-close status is unconfirmed.</t>
  </si>
  <si>
    <t>Governance Risk (EAIRM §5.1)
Regulatory Compliance
Data Risk (Taxonomy A6) — governance manifestation
[Risk of AI — risk arising from training, retrieval, or operational data governance failures]</t>
  </si>
  <si>
    <t>Regulatory Compliance
Third-Party / Vendor Governance</t>
  </si>
  <si>
    <t>Dependency; Scale Asymmetry
(Data flows at machine speed across jurisdictions)</t>
  </si>
  <si>
    <t>All four systems
(Data flows across EU/UK/US infrastructure)</t>
  </si>
  <si>
    <t>Data Acquisition → Deployment → Monitoring</t>
  </si>
  <si>
    <t>Data Protection Officer / Group Privacy Function
Head of Vendor Governance (for cloud DPAs)</t>
  </si>
  <si>
    <t>1. Data flow mapping: identify all EU–UK–US transfer flows for each system (G6, Days 31–60).
2. Confirm or establish GDPR Art. 46 transfer mechanisms (Standard Contractual Clauses or equivalent).
3. Complete or audit DPAs for all cloud providers and data processors.
4. UK–EU adequacy review under UK DPA 2018.
Source: GDPR Art. 28, 46; UK DPA 2018; ISO/IEC 27701.</t>
  </si>
  <si>
    <t>Medium (following DPA completion and transfer mechanism documentation)</t>
  </si>
  <si>
    <t>% of data transfer flows without documented GDPR Art. 46 transfer mechanism
% of data processing arrangements without signed DPA
Tolerance: 0% — any undocumented transfer is a live violation
(Derived from GDPR Art. 28 obligation — Standards &amp; Controls doc p.3)</t>
  </si>
  <si>
    <t>GDPR Art. 33/34 (breach notification within 72 hours)
GDPR Art. 46 non-compliance (enforcement by ICO / national DPA)
UK DPA 2018 equivalent obligations</t>
  </si>
  <si>
    <t>G4: Dependency (CAUTION — reliance on US-hosted cloud without documented transfer mechanism)</t>
  </si>
  <si>
    <t>GDPR Art. 28 (Data Processing Agreements)
GDPR Art. 46 (cross-border transfer mechanisms)
UK DPA 2018
ISO/IEC 27701 (privacy governance)
ISO/IEC 42001 Cl.4 (Context)
NIST AI RMF MAP (data provenance and governance)</t>
  </si>
  <si>
    <t>G0: (supports GR-02 and GR-03)
DD: Artefact 4
S1: GDPR, ISO/IEC 27701 rows</t>
  </si>
  <si>
    <t>GR-10</t>
  </si>
  <si>
    <t>ISO/IEC 42001 AI Management System Gap — Combined Entity</t>
  </si>
  <si>
    <t>LumaPay cannot demonstrate compliance with any clause of ISO/IEC 42001 (AI Management System standard), the primary governance vehicle for establishing, implementing, maintaining, and improving an AIMS. Combined with Nordhaven's ISO/IEC 42001-aligned architecture, the gap must be remediated through the integration programme. EAIRM §10.1 explicitly uses ISO/IEC 42001 as the implementation standard for the AI governance operating model.</t>
  </si>
  <si>
    <t>Governance Risk (EAIRM §5.1)
Board Accountability &amp; Oversight
Regulatory Compliance
[Note: purely governance institutional failure — no A1-A9 taxonomy code applicable; see Taxonomy Note on Cover sheet. Closest taxonomy alignment: B4 Institutional Fragility Risk]</t>
  </si>
  <si>
    <t>All five substrate properties
(Management system gap amplifies every substrate risk)</t>
  </si>
  <si>
    <t>All four systems (LumaPay estate)</t>
  </si>
  <si>
    <t>All lifecycle stages
(ISO/IEC 42001 spans Design and Intent through Retirement)</t>
  </si>
  <si>
    <t>AI Governance Function (2nd Line — AIMS implementation lead)
Group CRO (accountability)
Nominated ISO/IEC 42001 Implementation Lead</t>
  </si>
  <si>
    <t>None at LumaPay (Level 1–2 maturity — Assumption A1). Nordhaven has structured governance (Level 3–4 — inferred per EAIRM Maturity Model, Framework p.12).</t>
  </si>
  <si>
    <t>1. Gap analysis: LumaPay vs ISO/IEC 42001 Cl.4–9 (G6, Days 31–60).
2. Context documentation (Cl.4): define scope of combined AI estate.
3. Leadership accountability records (Cl.5): board commitment and named owners.
4. AI risk management objectives (Cl.6): formal planning.
5. Operation records (Cl.8): per-system documentation.
6. Performance evaluation (Cl.9): monitoring and audit framework.
Source: ISO/IEC 42001; Standards &amp; Controls doc p.2; NIST AI RMF GOVERN.</t>
  </si>
  <si>
    <t>High (gap analysis and documentation programme reduces risk; full AIMS certification is longer-term)</t>
  </si>
  <si>
    <t>AI-31: % of AI use cases without governance approval (Yemi, Day 4 Sess 2, Slides p.47)
% of ISO/IEC 42001 clauses with evidence of compliance
Tolerance: all mandatory clauses must have evidence before LumaPay systems are approved for post-integration deployment</t>
  </si>
  <si>
    <t>EU AI Act Art. 9 (risk management system implicitly requires AIMS-equivalent structure)
ISO/IEC 42001 Cl.9 (internal audit — non-conformance reportable)
No direct immediate notification trigger; structural compliance risk</t>
  </si>
  <si>
    <t>G4: All five substrate properties — ISO/IEC 42001 is the implementation standard for operationalising all appetite thresholds</t>
  </si>
  <si>
    <t>ISO/IEC 42001 Cl.4 (Context)
ISO/IEC 42001 Cl.5 (Leadership)
ISO/IEC 42001 Cl.6 (Planning)
ISO/IEC 42001 Cl.8 (Operation)
ISO/IEC 42001 Cl.9 (Performance Evaluation)
NIST AI RMF GOVERN
EAIRM §9 (Maturity Model, Framework p.12)
EAIRM §10.1</t>
  </si>
  <si>
    <t>G0: (structural parent of GR-01, GR-03, GR-04)
S1: ISO/IEC 42001 row
G6: Days 31–60 (gap analysis)</t>
  </si>
  <si>
    <t>Quarterly governance review; ISO/IEC 42001 internal audit per Cl.9 (annually)</t>
  </si>
  <si>
    <t>GR-11</t>
  </si>
  <si>
    <t>Integration-Period Governance Control Gap</t>
  </si>
  <si>
    <t>The 12–18 month parallel operations period across EU and UK entities on mixed infrastructure creates a sustained governance risk window. During this period, accountability gaps are amplified by dual-jurisdiction regulatory exposure. Errors in governance control can propagate at machine speed across both the EU and UK estates simultaneously before detection, creating regulatory incidents in two jurisdictions.</t>
  </si>
  <si>
    <t>Scale Asymmetry; Drift
(Dual-entity exposure during integration)</t>
  </si>
  <si>
    <t>All four systems
(Mixed EU/UK/US infrastructure)</t>
  </si>
  <si>
    <t>Deployment → Monitoring
(Sustained risk across 12–18 month integration window)</t>
  </si>
  <si>
    <t>Integration Programme Director
Group CRO (board accountability)
Named SMF (escalation authority)</t>
  </si>
  <si>
    <t>None. Stage-gate review milestones not yet established. No dual-sign-off requirement for cross-entity deployments.</t>
  </si>
  <si>
    <t>Medium (following stage-gate and dual sign-off implementation)</t>
  </si>
  <si>
    <t># of simultaneous deployments without dual-entity sign-off
% of in-scope systems with integration-period monitoring in place
(G4: Scale Asymmetry KRI — grounded in Deliverable A board pack)</t>
  </si>
  <si>
    <t>EU AI Act Art. 62 (dual jurisdiction; 15-day reporting to both EU and UK supervisory authorities)
DORA Art. 19 (major ICT incident)
FCA Sup 15.3 (AI risk event — UK entity — anticipated, Kok, Day 3 Sess 2, Slide p.15)
⚠ A2: DORA as group benchmark — stated assumption</t>
  </si>
  <si>
    <t>G4: Scale Asymmetry (TARGET band — no simultaneous EU/UK deployment without dual sign-off during integration period)</t>
  </si>
  <si>
    <t>EAIRM §5.1 (Board Accountability)
NIST AI RMF GOVERN 2
DORA Art. 19
EU AI Act Art. 62
EAIRM §10.3–10.4 (Board Risk Dashboard + Incident Protocol)</t>
  </si>
  <si>
    <t>G0: (supports GR-01 and GR-02)
G6: Days 61–100 (stage-gate operational)
G3: Choice 5 (Escalation)</t>
  </si>
  <si>
    <t>Monthly during integration period (elevated cadence); quarterly thereafter</t>
  </si>
  <si>
    <t>GR-12</t>
  </si>
  <si>
    <t>FCA Consumer Duty — LumaAssist Chat AI Transparency Failure</t>
  </si>
  <si>
    <t>Governance Risk (EAIRM §5.1)
Regulatory Compliance
Transparency &amp; Explainability
Explainability Risk (Taxonomy A7)
[Risk of AI — humans cannot understand or verify the reasoning process; LLM outputs not verifiable by customers]</t>
  </si>
  <si>
    <t>Opacity; Autonomy</t>
  </si>
  <si>
    <t>LumaAssist Chat
(LLM-based customer assistant)</t>
  </si>
  <si>
    <t>Deployment → Monitoring
(Live on every customer interaction)</t>
  </si>
  <si>
    <t>Head of Conduct Risk / AI Governance Function (2nd Line)
Customer-Facing Business Owner (1st Line)
Data Protection Officer</t>
  </si>
  <si>
    <t>None evidenced. LumaAssist Chat documented as exposed to prompt injection, data leakage, and evaluation risks (Brief Slides). No transparency or AI disclosure mechanism documented pre-close.</t>
  </si>
  <si>
    <t>1. Implement AI interaction disclosure per EU AI Act Art. 13.
2. Consumer Duty assessment — evaluate LumaAssist against four outcomes (consumer understanding).
3. Review customer journey for LLM-specific transparency obligations.
4. Implement output monitoring for harmful or misleading responses.
Source: EU AI Act Art. 13–14; Brief Slides; FCA Consumer Duty (⚠ A7 — general knowledge).</t>
  </si>
  <si>
    <t>Medium (following disclosure implementation and Consumer Duty assessment completion)</t>
  </si>
  <si>
    <t>% of LumaAssist interactions without AI disclosure (derived from EU AI Act Art. 13 obligation)
% of complaints referencing AI interaction
(AI Governance &amp; Compliance vector, Yemi, Day 4 Sess 2, Slides p.47)</t>
  </si>
  <si>
    <t>EU AI Act Art. 62 (if AI disclosure failure leads to serious incident)
FCA Sup 15.3 (AI risk event — anticipated, Kok, Day 3 Sess 2, Slide p.15)
⚠ A7: FCA Consumer Duty enforcement = general knowledge — flagged
GDPR Art. 22 (if LumaAssist influences regulated decisions)</t>
  </si>
  <si>
    <t>G4: Opacity (LIMIT — zero tolerance for unexplainable automated decisions affecting customers)
G4: Autonomy (LIMIT — HITL required where LumaAssist influences regulated decisions)</t>
  </si>
  <si>
    <t>EU AI Act Art. 13–14
GDPR Art. 22
ISO/IEC 42001 Cl.8 (Operation)
NIST AI RMF GOVERN (Trustworthiness)
EAIRM §5.1 (Transparency &amp; Explainability)
⚠ A7: FCA Consumer Duty (general knowledge — detailed obligations not in course materials)</t>
  </si>
  <si>
    <t>G0: (related to GR-03)
S1: EU AI Act, FCA/SMCR, GDPR rows
DD: Artefact 2</t>
  </si>
  <si>
    <t>LEGEND — Risk Level (Yemi, Day 4 Sess 2 four-band system) &amp; Velocity</t>
  </si>
  <si>
    <t>CRITICAL (Score 20–25)</t>
  </si>
  <si>
    <t>VERY HIGH (Score 15–19)</t>
  </si>
  <si>
    <t>HIGH (Score 10–14)</t>
  </si>
  <si>
    <t>MODERATE (Score 1–9)</t>
  </si>
  <si>
    <t>ID</t>
  </si>
  <si>
    <t>Assumption</t>
  </si>
  <si>
    <t>What It Is</t>
  </si>
  <si>
    <t>Grounding in Course Materials</t>
  </si>
  <si>
    <t>Type</t>
  </si>
  <si>
    <t>Review Flag</t>
  </si>
  <si>
    <t>A1</t>
  </si>
  <si>
    <t>LumaPay governance maturity Level 1–2</t>
  </si>
  <si>
    <t>Maturity levels inferred from Bıçakçı's descriptions rather than a formal assessment. Positions LumaPay as 'Ad Hoc to Aware' on the EAIRM Maturity Model.</t>
  </si>
  <si>
    <t>Course-grounded</t>
  </si>
  <si>
    <t>Defensible inference — no formal score provided</t>
  </si>
  <si>
    <t>A2</t>
  </si>
  <si>
    <t>DORA applied as Nordhaven group benchmark to UK entity</t>
  </si>
  <si>
    <t>DORA formally applies to EU financial entities. LumaPay is UK fintech; direct applicability depends on EU market presence. Assumption: Nordhaven applies DORA as group-level standard for all acquired entities.</t>
  </si>
  <si>
    <t>State explicitly in submission</t>
  </si>
  <si>
    <t>A6</t>
  </si>
  <si>
    <t>Quantitative RAG threshold numbers (drift &gt;5%, etc.)</t>
  </si>
  <si>
    <t>Specific threshold percentages are proposed by the group. The RAG band structure (LIMIT/CAUTION/TARGET) is course-derived from Kok, Day 3 Sess 2, Slide p.19.</t>
  </si>
  <si>
    <t>Structure course-grounded;
Numbers are group proposals</t>
  </si>
  <si>
    <t>Threshold numbers must be presented as proposed, not course-stated</t>
  </si>
  <si>
    <t>A7</t>
  </si>
  <si>
    <t>Consumer Duty detailed obligations (four outcomes)</t>
  </si>
  <si>
    <t>⚠ General knowledge</t>
  </si>
  <si>
    <t>Flag in submission — review before including detailed Consumer Duty obligations</t>
  </si>
  <si>
    <t>GR-05 sub</t>
  </si>
  <si>
    <t>Retention-critical individuals can be identified</t>
  </si>
  <si>
    <t>The assumption that specific AI engineers are retention-critical and identifiable pre-close is operationally reasonable but not confirmed in the brief.</t>
  </si>
  <si>
    <t>Course-grounded (risk confirmed);
Operational detail proposed</t>
  </si>
  <si>
    <t>Reasonable assumption; state as proposed action</t>
  </si>
  <si>
    <t>SMCR-AI</t>
  </si>
  <si>
    <t>SMCR-AI requirements (SMF roles, Sup 15.3) are anticipated</t>
  </si>
  <si>
    <t>Kok presents three anticipated SMCR-AI requirements (named SMF holder, updated Statement of Responsibilities, Sup 15.3 reporting) as projections of what is coming — not currently mandated FCA rules.</t>
  </si>
  <si>
    <t>Course-grounded (Kok Day 3 Sess 2);
Not yet mandated</t>
  </si>
  <si>
    <t>Always present as 'anticipated requirement' — never as current FCA mandate</t>
  </si>
  <si>
    <t>Entries GR-01, GR-07, GR-10, GR-11 are classified under EAIRM Governance Risk domain (§5.1) rather than an A1-A9 taxonomy code. These represent institutional governance failures — accountability gaps, decision rights deficiencies, management system gaps — rather than technical AI system risks. A1-A9 are 'Risk of AI' technical categories (Jaokar, Day 1; EAIRM Taxonomy document); governance failures of this type sit in the EAIRM three-domain classification (Governance Risk §5.1) and most closely align with Taxonomy B4 (Institutional Fragility Risk). Entries GR-03, GR-04, GR-06, GR-08, GR-09, GR-12 include both EAIRM domain and A-series taxonomy codes where the technical risk type is identifiable. Source: EAIRM Taxonomy document; EAIRM Framework §5.1; Jaokar, Day 1.</t>
  </si>
  <si>
    <t>Six authoritative stages per EAIRM Glossary: Design and Intent · Data Acquisition · Model Development · Deployment · Monitoring · Retirement. Used consistently throughout: 'use the EAIRM six-stage lifecycle as the authoritative taxonomy.' Note: Brief Slides show five abbreviated stages (Design, Data, Develop, Deploy, Monitor); Bıçakçı adds 'Retirement'.</t>
  </si>
  <si>
    <t>A1–A7 flagged throughout; quantitative thresholds per Bıçakçı authorisation (Submission Guidance)</t>
  </si>
  <si>
    <t>Bıçakçı, Day 5 Sess 3; Submission Guidance; Kok, Day 3 Sess 2 (Five-Choice Model, Slides pp.12–35); EAIRM §5.1</t>
  </si>
  <si>
    <t>Bıçakçı, Day 5 Sess 3; Manikam, Day 4 Sess 1 (Shadow AI definition); Submission Guidance (no TSA)</t>
  </si>
  <si>
    <t>Bıçakçı, Day 5 Sess 3; Brief Slides ('Key AI Systems — LumaCredit-EU'); EAIRM §5.1; EU AI Act Art. 9 (Standards &amp; Controls doc p.3)</t>
  </si>
  <si>
    <t>Brief Slides ('AutoUnderwriter Agent — autonomy, dependency, emergent-capability risks; governance controls least mature'); Manikam, Day 4 Sess 1; EAIRM §5.1; EU AI Act Art. 14 (Standards &amp; Controls doc p.3)</t>
  </si>
  <si>
    <t>Bıçakçı, Day 5 Sess 3 ('if you can't name an accountable owner for a lifecycle stage, assume that's where the next incident will happen') &amp; ('orphan models and pipelines nobody fully understands'); Submission Guidance (no binding contracts confirmed)</t>
  </si>
  <si>
    <t>Brief Slides ('FraudShield — governed by ISO/IEC 27036 and DORA'); Bıçakçı, Day 5 Sess 3; EAIRM §5.1; DORA Art. 28–30 (Standards &amp; Controls doc p.3)</t>
  </si>
  <si>
    <t>Brief Slides (Deliverable A — 100-Day Plan: 'who approves model deployments, who owns the risk register, and how escalation paths function during transition'); Bıçakçı, Day 5 Sess 3 ('who owns the unified AI registry, how stage gate reviews work, and who signs off on deployments'); Kok, Day 3 Sess 2, Slide p.24; NIST AI RMF GOVERN 2; EAIRM §5.1</t>
  </si>
  <si>
    <t>Bıçakçı, Day 5 Sess 3 ('explainability through the full lifecycle'); Brief Slides ('LumaCredit-EU — opacity, drift, data-quality'); EAIRM §5.1; GDPR Art. 22 (Standards &amp; Controls doc p.3)</t>
  </si>
  <si>
    <t>Bıçakçı, Day 5 Sess 3; Brief Slides ('Cross-Border Data Flows — GDPR, UK DPA, EU AI Act'); EAIRM §5.1; Standards &amp; Controls doc p.3 (GDPR Art. 46)</t>
  </si>
  <si>
    <t>Standards &amp; Controls doc p.2 (ISO/IEC 42001 key clauses); EAIRM Framework §9 (Maturity Model p.12); EAIRM §10.1; Bıçakçı, Day 5 Sess 3 (LumaPay fragile lifecycle controls)</t>
  </si>
  <si>
    <t>Brief Slides ('Parallel Operations Window — 12–18 months on mixed infrastructure'); Bıçakçı, Day 5 Sess 3; EAIRM §5.1; NIST AI RMF GOVERN 2</t>
  </si>
  <si>
    <t>Brief Slides ('LumaAssist Chat — prompt injection, data leakage, evaluation risks'); Bıçakçı, Day 5 Sess 3 (FCA and UKGC regulation stated); EU AI Act Art. 13–14 (Standards &amp; Controls doc p.3)
⚠ A7: Consumer Duty four-outcome detail = general knowledge</t>
  </si>
  <si>
    <t>None at LumaPay. Documentation 'partial'; no shadow AI inventory confirmed (Bıçakçı).</t>
  </si>
  <si>
    <t>Partial documentation. Model cards absent or incomplete. No conformity assessment evidence. Fragile lifecycle controls (Bıçakçı).</t>
  </si>
  <si>
    <t>1. Shadow AI discovery exercise as Day 1 action (NIST AI RMF MAP).
2. Mandatory disclosure from all business unit heads.
3. All discovered tools triaged against EU AI Act Art. 6–7 classification.
Source: Manikam, Day 4 Sess 1; EAIRM §5.1; NIST AI RMF MAP.</t>
  </si>
  <si>
    <t>Full lifecycle — Design and Intent through Retirement
(Per Bıçakçı; EU AI Act Art. 9 requires lifecycle-wide risk management system)</t>
  </si>
  <si>
    <t>1. Design and implement documented HITL gate for all regulated decisions.
2. Restrict autonomous execution to pre-approved parameters.
3. Document human review process and retain audit trail per EU AI Act Art. 14.
4. Apply agentic governance framework (NIST AI RMF GOVERN 2 + Manikam, Day 4 Sess 1 controls).
Source: Manikam, Day 4 Sess 1; NIST AI RMF GOVERN 2.</t>
  </si>
  <si>
    <t>1. Assign RACI across all lifecycle stages for all four systems before close (G6, Days 1–30).
2. Create model documentation packages for each system.
3. Identify retention-critical individuals and escalate to HR pre-close.
4. ISO/IEC 42001 Cl.5 accountability records.
Source: Bıçakçı; ISO/IEC 42001 Cl.5; RACI Model (Glossary §B).</t>
  </si>
  <si>
    <t>1. Pre-close vendor contract audit — specifically change-of-control and non-assignability clauses (DD Artefact 5; G6 Days 31–60).
2. Assign interim fallback plan for FraudShield in event of access loss.
3. DORA Art. 28–30 vendor assessment (concentration risk, contractual safeguards).
4. SLA documentation and exit strategy.
Source: DORA Art. 28–30; ISO/IEC 27036; Bıçakçı.</t>
  </si>
  <si>
    <t>No explainability evidence documented. Model cards absent or partial. No customer-facing explanation mechanism in place (Bıçakçı).</t>
  </si>
  <si>
    <t>Unknown — DPA status pre-close not confirmed. US-hosted cloud regions in use confirmed (Bıçakçı).</t>
  </si>
  <si>
    <t>1. Establish stage-gate review milestones for all deployments during integration period (G6).
2. Dual-entity sign-off: no simultaneous EU/UK deployment without authorisation from both governance leads.
3. Escalation protocol tested by Days 61–100 (G6).
4. Board Risk Dashboard operational to detect cross-entity KRI divergence.
Source: Bıçakçı, Day 5 Sess 3; EAIRM §10.3–10.4; NIST AI RMF GOVERN 2.</t>
  </si>
  <si>
    <t>LumaAssist Chat is an LLM-based customer-facing assistant interacting with consumers on financial products. EU AI Act Art. 13–14 requires disclosure of AI interaction. FCA Consumer Duty requires customer understanding outcomes. No evidence that either transparency obligation has been assessed or implemented at LumaPay pre-close.
⚠ A7: Consumer Duty four outcomes = general knowledge; FCA/UKGC reference is course-stated (Bıçakçı); detailed Consumer Duty obligations are general knowledge — flagged.</t>
  </si>
  <si>
    <t>FIELD STRUCTURE :
• Risk Register fields: Kok, Day 3 Sess 2, Slide p.29 + Yemi, Day 4 Sess 2, Slides p.28 + Brief Slides (Deliverable B requirements).
• Likelihood / Impact scales: Yemi, Day 4 Sess 2, Slides p.20–21. Example risk assessment table: Slides p.27. Example register format: Slides p.28.
• Risk Level banding: Yemi four-band system (moderate, high, very high, critical) confirmed from Master Reference — 'Combined with likelihood in a 5×5 risk matrix to produce risk scores (moderate, high, very high, critical).' Score bandings: Critical 20–25; Very High 15–19; High 10–14; Moderate 1–9.
• Velocity definition: EAIRM Glossary (Artefacts §H).
• KRI source: Yemi, Day 4 Sess 2, Slides p.47. AI-01 = '% of models without documented risk assessment'; AI-06 = '% of high-risk AI use cases without HITL controls'; AI-31 = '% of AI use cases without governance approval'.
• Lifecycle stage names: all entries use authoritative EAIRM Glossary names (Design and Intent / Data Acquisition / Model Development / Deployment / Monitoring / Retirement) per Master Reference instruction: 'use the EAIRM six-stage lifecycle as the authoritative taxonomy.'
• Taxonomy classification: Governance-pure entries (GR-01, GR-07, GR-10, GR-11) classified under EAIRM §5.1 Governance Risk domain rather than A1-A9 taxonomy. A1-A9 are 'Risk of AI' technical categories; these four risks are institutional governance failures. See Cover Sheet Taxonomy Note.
• Assumptions A1–A7 documented in Assumptions Register sheet. A7 (Consumer Duty) = ⚠ general knowledge. SMCR Sup 15.3 = anticipated requirement (Kok, Day 3 Sess 2, Slide p.15), not yet mandated.</t>
  </si>
  <si>
    <t>Bıçakçı, Day 5 Sess 3. Directly applies EAIRM Maturity Model (Framework p.12). Nordhaven at Level 3–4 based on 'governance-first acquirer' description.</t>
  </si>
  <si>
    <t>Bıçakçı explicitly flags DORA; EAIRM Framework maps FraudShield to DORA Art. 28–30; Nordhaven is EU bank. Bıçakçı authorises assumptions (Submission Guidance).</t>
  </si>
  <si>
    <t>RAG band structure: Kok, Day 3 Sess 2, Slide p.19 (BCG tool — not in EAIRM Glossary). Specific thresholds: Bıçakçı authorises ('make your assumptions' — Submission Guidance).</t>
  </si>
  <si>
    <t>Bıçakçı mentions Consumer Duty in passing. The four-outcome framework (products &amp; services, price &amp; value, consumer understanding, consumer support) is UK financial services regulation — not in course materials.</t>
  </si>
  <si>
    <t>Reference grounded in course: Bıçakçı. Detailed obligations: general knowledge from UK financial services regulation.</t>
  </si>
  <si>
    <t>Broader talent flight risk is course-confirmed (Bıçakçı); Submission Guidance). Identification of specific individuals is an authorised implementation assumption (Submission Guidance).</t>
  </si>
  <si>
    <t>Kok, Day 3 Sess 2, Slide p.15. Kok explicitly says 'Don't wait for SMCR-AI guidance — act now', confirming these are not yet in force.</t>
  </si>
  <si>
    <t>No binding employment contracts for LumaPay AI engineers and data scientists. All staff on standard 3-month notice periods (confirmed: Submission Guidance). Post-close attrition would leave AI systems at any lifecycle stage without a named accountable owner — the direct precondition identified in the course for an AI governance incident: 'If you can't name an accountable owner for a lifecycle stage post deal, assume that's where the next incident will happen.'</t>
  </si>
  <si>
    <t>ASSUMPTIONS REGISTER — Deliverable B1 Governance Risk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</si>
</sst>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16"/>
      <color rgb="FFFFFFFF"/>
      <name val="Arial"/>
      <family val="2"/>
    </font>
    <font>
      <sz val="10"/>
      <color rgb="FFD6E4F7"/>
      <name val="Arial"/>
      <family val="2"/>
    </font>
    <font>
      <b/>
      <sz val="9"/>
      <color rgb="FF1E293B"/>
      <name val="Arial"/>
      <family val="2"/>
    </font>
    <font>
      <b/>
      <sz val="9"/>
      <color rgb="FF243461"/>
      <name val="Arial"/>
      <family val="2"/>
    </font>
    <font>
      <sz val="9"/>
      <color rgb="FF1E293B"/>
      <name val="Arial"/>
      <family val="2"/>
    </font>
    <font>
      <b/>
      <sz val="13"/>
      <color rgb="FFFFFFFF"/>
      <name val="Arial"/>
      <family val="2"/>
    </font>
    <font>
      <b/>
      <sz val="8"/>
      <color rgb="FFFFFFFF"/>
      <name val="Arial"/>
      <family val="2"/>
    </font>
    <font>
      <sz val="8"/>
      <color rgb="FF1E293B"/>
      <name val="Arial"/>
      <family val="2"/>
    </font>
    <font>
      <b/>
      <sz val="10"/>
      <color rgb="FFFFFFFF"/>
      <name val="Arial"/>
      <family val="2"/>
    </font>
    <font>
      <b/>
      <sz val="8"/>
      <color rgb="FFDC2626"/>
      <name val="Arial"/>
      <family val="2"/>
    </font>
    <font>
      <sz val="8"/>
      <color rgb="FF1D4ED8"/>
      <name val="Arial"/>
      <family val="2"/>
    </font>
    <font>
      <i/>
      <sz val="7.5"/>
      <color rgb="FF475569"/>
      <name val="Arial"/>
      <family val="2"/>
    </font>
    <font>
      <b/>
      <sz val="8"/>
      <color rgb="FFB45309"/>
      <name val="Arial"/>
      <family val="2"/>
    </font>
    <font>
      <b/>
      <sz val="8"/>
      <color rgb="FFD97706"/>
      <name val="Arial"/>
      <family val="2"/>
    </font>
    <font>
      <b/>
      <sz val="9"/>
      <color rgb="FFFFFFFF"/>
      <name val="Arial"/>
      <family val="2"/>
    </font>
    <font>
      <b/>
      <sz val="8"/>
      <color rgb="FF16A34A"/>
      <name val="Arial"/>
      <family val="2"/>
    </font>
    <font>
      <i/>
      <sz val="7.5"/>
      <color rgb="FF92400E"/>
      <name val="Arial"/>
      <family val="2"/>
    </font>
    <font>
      <b/>
      <sz val="8"/>
      <color rgb="FF1E293B"/>
      <name val="Arial"/>
      <family val="2"/>
    </font>
    <font>
      <i/>
      <sz val="8"/>
      <color rgb="FF92400E"/>
      <name val="Arial"/>
      <family val="2"/>
    </font>
  </fonts>
  <fills count="12">
    <fill>
      <patternFill patternType="none"/>
    </fill>
    <fill>
      <patternFill patternType="gray125"/>
    </fill>
    <fill>
      <patternFill patternType="solid">
        <fgColor rgb="FF1C2951"/>
        <bgColor rgb="FF1E293B"/>
      </patternFill>
    </fill>
    <fill>
      <patternFill patternType="solid">
        <fgColor rgb="FF243461"/>
        <bgColor rgb="FF1C2951"/>
      </patternFill>
    </fill>
    <fill>
      <patternFill patternType="solid">
        <fgColor rgb="FFF4F7FC"/>
        <bgColor rgb="FFEEF4FF"/>
      </patternFill>
    </fill>
    <fill>
      <patternFill patternType="solid">
        <fgColor rgb="FFFFFFFF"/>
        <bgColor rgb="FFF4F7FC"/>
      </patternFill>
    </fill>
    <fill>
      <patternFill patternType="solid">
        <fgColor rgb="FFEEF4FF"/>
        <bgColor rgb="FFF4F7FC"/>
      </patternFill>
    </fill>
    <fill>
      <patternFill patternType="solid">
        <fgColor rgb="FF1D4ED8"/>
        <bgColor rgb="FF3366FF"/>
      </patternFill>
    </fill>
    <fill>
      <patternFill patternType="solid">
        <fgColor rgb="FFFEE2E2"/>
        <bgColor rgb="FFEEF4FF"/>
      </patternFill>
    </fill>
    <fill>
      <patternFill patternType="solid">
        <fgColor rgb="FFFDE68A"/>
        <bgColor rgb="FFFEF9C3"/>
      </patternFill>
    </fill>
    <fill>
      <patternFill patternType="solid">
        <fgColor rgb="FFFEF9C3"/>
        <bgColor rgb="FFF4F7FC"/>
      </patternFill>
    </fill>
    <fill>
      <patternFill patternType="solid">
        <fgColor rgb="FFD1FAE5"/>
        <bgColor rgb="FFD6E4F7"/>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style="thin">
        <color rgb="FFCBD5E1"/>
      </bottom>
      <diagonal/>
    </border>
  </borders>
  <cellStyleXfs count="1">
    <xf numFmtId="0" fontId="0" fillId="0" borderId="0"/>
  </cellStyleXfs>
  <cellXfs count="37">
    <xf numFmtId="0" fontId="0" fillId="0" borderId="0" xfId="0"/>
    <xf numFmtId="0" fontId="0" fillId="0" borderId="1" xfId="0" applyBorder="1"/>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7" fillId="3" borderId="1" xfId="0" applyFont="1" applyFill="1" applyBorder="1" applyAlignment="1">
      <alignment horizontal="center" vertical="center" wrapText="1"/>
    </xf>
    <xf numFmtId="0" fontId="7" fillId="7"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3" fillId="5" borderId="1" xfId="0" applyFont="1" applyFill="1" applyBorder="1" applyAlignment="1">
      <alignment horizontal="center" vertical="top"/>
    </xf>
    <xf numFmtId="0" fontId="9" fillId="3" borderId="1" xfId="0" applyFont="1" applyFill="1" applyBorder="1" applyAlignment="1">
      <alignment horizontal="center" vertical="top"/>
    </xf>
    <xf numFmtId="0" fontId="10" fillId="8" borderId="1" xfId="0" applyFont="1" applyFill="1" applyBorder="1" applyAlignment="1">
      <alignment horizontal="center" vertical="top"/>
    </xf>
    <xf numFmtId="0" fontId="11" fillId="5"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3" fillId="6" borderId="1" xfId="0" applyFont="1" applyFill="1" applyBorder="1" applyAlignment="1">
      <alignment horizontal="center" vertical="top"/>
    </xf>
    <xf numFmtId="0" fontId="11" fillId="6" borderId="1" xfId="0" applyFont="1" applyFill="1" applyBorder="1" applyAlignment="1">
      <alignment horizontal="left" vertical="top" wrapText="1"/>
    </xf>
    <xf numFmtId="0" fontId="13" fillId="9" borderId="1" xfId="0" applyFont="1" applyFill="1" applyBorder="1" applyAlignment="1">
      <alignment horizontal="center" vertical="top"/>
    </xf>
    <xf numFmtId="0" fontId="14" fillId="10" borderId="1" xfId="0" applyFont="1" applyFill="1" applyBorder="1" applyAlignment="1">
      <alignment horizontal="center" vertical="top"/>
    </xf>
    <xf numFmtId="0" fontId="15" fillId="3" borderId="1" xfId="0" applyFont="1" applyFill="1" applyBorder="1" applyAlignment="1">
      <alignment horizontal="center" vertical="center" wrapText="1"/>
    </xf>
    <xf numFmtId="0" fontId="18" fillId="5" borderId="1" xfId="0" applyFont="1" applyFill="1" applyBorder="1" applyAlignment="1">
      <alignment horizontal="left" vertical="top" wrapText="1"/>
    </xf>
    <xf numFmtId="0" fontId="19" fillId="5" borderId="1" xfId="0" applyFont="1" applyFill="1" applyBorder="1" applyAlignment="1">
      <alignment horizontal="left" vertical="top" wrapText="1"/>
    </xf>
    <xf numFmtId="0" fontId="18" fillId="6" borderId="1" xfId="0" applyFont="1" applyFill="1" applyBorder="1" applyAlignment="1">
      <alignment horizontal="left" vertical="top" wrapText="1"/>
    </xf>
    <xf numFmtId="0" fontId="19" fillId="6"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0" borderId="2" xfId="0" applyBorder="1"/>
    <xf numFmtId="0" fontId="2" fillId="3"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0" fillId="0" borderId="3" xfId="0" applyBorder="1"/>
    <xf numFmtId="0" fontId="17" fillId="10" borderId="1" xfId="0" applyFont="1" applyFill="1" applyBorder="1" applyAlignment="1">
      <alignment horizontal="left" vertical="top" wrapText="1"/>
    </xf>
    <xf numFmtId="0" fontId="10" fillId="8" borderId="1" xfId="0" applyFont="1" applyFill="1" applyBorder="1"/>
    <xf numFmtId="0" fontId="13" fillId="9" borderId="1" xfId="0" applyFont="1" applyFill="1" applyBorder="1"/>
    <xf numFmtId="0" fontId="16" fillId="11" borderId="1" xfId="0" applyFont="1" applyFill="1" applyBorder="1"/>
    <xf numFmtId="0" fontId="15" fillId="2" borderId="1" xfId="0" applyFont="1" applyFill="1" applyBorder="1"/>
    <xf numFmtId="0" fontId="14" fillId="10"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F4F7FC"/>
      <rgbColor rgb="FF808080"/>
      <rgbColor rgb="FF9999FF"/>
      <rgbColor rgb="FFB45309"/>
      <rgbColor rgb="FFFEF9C3"/>
      <rgbColor rgb="FFEEF4FF"/>
      <rgbColor rgb="FF660066"/>
      <rgbColor rgb="FFFF8080"/>
      <rgbColor rgb="FF1D4ED8"/>
      <rgbColor rgb="FFCBD5E1"/>
      <rgbColor rgb="FF000080"/>
      <rgbColor rgb="FFFF00FF"/>
      <rgbColor rgb="FFFFFF00"/>
      <rgbColor rgb="FF00FFFF"/>
      <rgbColor rgb="FF800080"/>
      <rgbColor rgb="FF800000"/>
      <rgbColor rgb="FF008080"/>
      <rgbColor rgb="FF0000FF"/>
      <rgbColor rgb="FF00CCFF"/>
      <rgbColor rgb="FFD6E4F7"/>
      <rgbColor rgb="FFD1FAE5"/>
      <rgbColor rgb="FFFDE68A"/>
      <rgbColor rgb="FF99CCFF"/>
      <rgbColor rgb="FFFF99CC"/>
      <rgbColor rgb="FFCC99FF"/>
      <rgbColor rgb="FFFEE2E2"/>
      <rgbColor rgb="FF3366FF"/>
      <rgbColor rgb="FF33CCCC"/>
      <rgbColor rgb="FF99CC00"/>
      <rgbColor rgb="FFFFCC00"/>
      <rgbColor rgb="FFFF9900"/>
      <rgbColor rgb="FFD97706"/>
      <rgbColor rgb="FF475569"/>
      <rgbColor rgb="FF969696"/>
      <rgbColor rgb="FF1C2951"/>
      <rgbColor rgb="FF16A34A"/>
      <rgbColor rgb="FF003300"/>
      <rgbColor rgb="FF333300"/>
      <rgbColor rgb="FF92400E"/>
      <rgbColor rgb="FF993366"/>
      <rgbColor rgb="FF243461"/>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showGridLines="0" tabSelected="1" zoomScale="108" zoomScaleNormal="100" workbookViewId="0">
      <selection sqref="A1:B1"/>
    </sheetView>
  </sheetViews>
  <sheetFormatPr baseColWidth="10" defaultColWidth="8.6640625" defaultRowHeight="15" x14ac:dyDescent="0.2"/>
  <cols>
    <col min="1" max="1" width="33.83203125" customWidth="1"/>
    <col min="2" max="2" width="73.33203125" customWidth="1"/>
  </cols>
  <sheetData>
    <row r="1" spans="1:2" ht="36" customHeight="1" x14ac:dyDescent="0.2">
      <c r="A1" s="28" t="s">
        <v>0</v>
      </c>
      <c r="B1" s="26"/>
    </row>
    <row r="2" spans="1:2" ht="18" customHeight="1" x14ac:dyDescent="0.2">
      <c r="A2" s="27" t="s">
        <v>1</v>
      </c>
      <c r="B2" s="26"/>
    </row>
    <row r="3" spans="1:2" ht="18" customHeight="1" x14ac:dyDescent="0.2">
      <c r="A3" s="25" t="s">
        <v>2</v>
      </c>
      <c r="B3" s="26"/>
    </row>
    <row r="4" spans="1:2" ht="7" customHeight="1" x14ac:dyDescent="0.2">
      <c r="A4" s="1"/>
      <c r="B4" s="1"/>
    </row>
    <row r="5" spans="1:2" ht="16" customHeight="1" x14ac:dyDescent="0.2">
      <c r="A5" s="2" t="s">
        <v>3</v>
      </c>
      <c r="B5" s="3" t="s">
        <v>4</v>
      </c>
    </row>
    <row r="6" spans="1:2" ht="25" customHeight="1" x14ac:dyDescent="0.2">
      <c r="A6" s="4" t="s">
        <v>5</v>
      </c>
      <c r="B6" s="5" t="s">
        <v>6</v>
      </c>
    </row>
    <row r="7" spans="1:2" x14ac:dyDescent="0.2">
      <c r="A7" s="2" t="s">
        <v>7</v>
      </c>
      <c r="B7" s="3" t="s">
        <v>8</v>
      </c>
    </row>
    <row r="8" spans="1:2" x14ac:dyDescent="0.2">
      <c r="A8" s="4" t="s">
        <v>9</v>
      </c>
      <c r="B8" s="5" t="s">
        <v>10</v>
      </c>
    </row>
    <row r="9" spans="1:2" ht="26" x14ac:dyDescent="0.2">
      <c r="A9" s="2" t="s">
        <v>11</v>
      </c>
      <c r="B9" s="3" t="s">
        <v>12</v>
      </c>
    </row>
    <row r="10" spans="1:2" x14ac:dyDescent="0.2">
      <c r="A10" s="4" t="s">
        <v>13</v>
      </c>
      <c r="B10" s="5" t="s">
        <v>14</v>
      </c>
    </row>
    <row r="11" spans="1:2" ht="26" x14ac:dyDescent="0.2">
      <c r="A11" s="2" t="s">
        <v>15</v>
      </c>
      <c r="B11" s="3" t="s">
        <v>16</v>
      </c>
    </row>
    <row r="12" spans="1:2" ht="26" x14ac:dyDescent="0.2">
      <c r="A12" s="4" t="s">
        <v>17</v>
      </c>
      <c r="B12" s="5" t="s">
        <v>18</v>
      </c>
    </row>
    <row r="13" spans="1:2" ht="26" x14ac:dyDescent="0.2">
      <c r="A13" s="2" t="s">
        <v>19</v>
      </c>
      <c r="B13" s="3" t="s">
        <v>20</v>
      </c>
    </row>
    <row r="14" spans="1:2" ht="39" x14ac:dyDescent="0.2">
      <c r="A14" s="4" t="s">
        <v>21</v>
      </c>
      <c r="B14" s="5" t="s">
        <v>22</v>
      </c>
    </row>
    <row r="15" spans="1:2" ht="117" x14ac:dyDescent="0.2">
      <c r="A15" s="2" t="s">
        <v>23</v>
      </c>
      <c r="B15" s="3" t="s">
        <v>295</v>
      </c>
    </row>
    <row r="16" spans="1:2" ht="52" x14ac:dyDescent="0.2">
      <c r="A16" s="4" t="s">
        <v>24</v>
      </c>
      <c r="B16" s="5" t="s">
        <v>296</v>
      </c>
    </row>
    <row r="17" spans="1:2" x14ac:dyDescent="0.2">
      <c r="A17" s="2" t="s">
        <v>25</v>
      </c>
      <c r="B17" s="3" t="s">
        <v>297</v>
      </c>
    </row>
    <row r="18" spans="1:2" x14ac:dyDescent="0.2">
      <c r="A18" s="4" t="s">
        <v>26</v>
      </c>
      <c r="B18" s="5" t="s">
        <v>27</v>
      </c>
    </row>
    <row r="19" spans="1:2" x14ac:dyDescent="0.2">
      <c r="A19" s="2" t="s">
        <v>28</v>
      </c>
      <c r="B19" s="3" t="s">
        <v>29</v>
      </c>
    </row>
    <row r="20" spans="1:2" x14ac:dyDescent="0.2">
      <c r="A20" s="4" t="s">
        <v>30</v>
      </c>
      <c r="B20" s="5" t="s">
        <v>31</v>
      </c>
    </row>
    <row r="21" spans="1:2" ht="24" customHeight="1" x14ac:dyDescent="0.2">
      <c r="A21" s="2" t="s">
        <v>32</v>
      </c>
      <c r="B21" s="3" t="s">
        <v>33</v>
      </c>
    </row>
  </sheetData>
  <mergeCells count="3">
    <mergeCell ref="A3:B3"/>
    <mergeCell ref="A2:B2"/>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2"/>
  <sheetViews>
    <sheetView showGridLines="0" zoomScale="168" zoomScaleNormal="100" workbookViewId="0">
      <pane ySplit="2" topLeftCell="A10" activePane="bottomLeft" state="frozen"/>
      <selection pane="bottomLeft" sqref="A1:X1"/>
    </sheetView>
  </sheetViews>
  <sheetFormatPr baseColWidth="10" defaultColWidth="8.6640625" defaultRowHeight="15" x14ac:dyDescent="0.2"/>
  <cols>
    <col min="1" max="1" width="8" customWidth="1"/>
    <col min="2" max="2" width="22" customWidth="1"/>
    <col min="3" max="3" width="40" customWidth="1"/>
    <col min="4" max="4" width="24" customWidth="1"/>
    <col min="5" max="5" width="22" customWidth="1"/>
    <col min="6" max="6" width="20" customWidth="1"/>
    <col min="7" max="8" width="22" customWidth="1"/>
    <col min="9" max="10" width="6" customWidth="1"/>
    <col min="11" max="11" width="8" customWidth="1"/>
    <col min="12" max="12" width="13" customWidth="1"/>
    <col min="13" max="13" width="10" customWidth="1"/>
    <col min="14" max="14" width="22" customWidth="1"/>
    <col min="15" max="15" width="30" customWidth="1"/>
    <col min="16" max="16" width="32" customWidth="1"/>
    <col min="17" max="17" width="13" customWidth="1"/>
    <col min="18" max="18" width="30" customWidth="1"/>
    <col min="19" max="19" width="28" customWidth="1"/>
    <col min="20" max="20" width="22" customWidth="1"/>
    <col min="21" max="21" width="30" customWidth="1"/>
    <col min="22" max="22" width="12" customWidth="1"/>
    <col min="23" max="23" width="14" customWidth="1"/>
    <col min="24" max="24" width="30" customWidth="1"/>
  </cols>
  <sheetData>
    <row r="1" spans="1:24" ht="27.75" customHeight="1" x14ac:dyDescent="0.2">
      <c r="A1" s="29" t="s">
        <v>34</v>
      </c>
      <c r="B1" s="30"/>
      <c r="C1" s="30"/>
      <c r="D1" s="30"/>
      <c r="E1" s="30"/>
      <c r="F1" s="30"/>
      <c r="G1" s="30"/>
      <c r="H1" s="30"/>
      <c r="I1" s="30"/>
      <c r="J1" s="30"/>
      <c r="K1" s="30"/>
      <c r="L1" s="30"/>
      <c r="M1" s="30"/>
      <c r="N1" s="30"/>
      <c r="O1" s="30"/>
      <c r="P1" s="30"/>
      <c r="Q1" s="30"/>
      <c r="R1" s="30"/>
      <c r="S1" s="30"/>
      <c r="T1" s="30"/>
      <c r="U1" s="30"/>
      <c r="V1" s="30"/>
      <c r="W1" s="30"/>
      <c r="X1" s="26"/>
    </row>
    <row r="2" spans="1:24" ht="36" customHeight="1" x14ac:dyDescent="0.2">
      <c r="A2" s="6" t="s">
        <v>35</v>
      </c>
      <c r="B2" s="6" t="s">
        <v>36</v>
      </c>
      <c r="C2" s="6" t="s">
        <v>37</v>
      </c>
      <c r="D2" s="6" t="s">
        <v>38</v>
      </c>
      <c r="E2" s="6" t="s">
        <v>39</v>
      </c>
      <c r="F2" s="6" t="s">
        <v>40</v>
      </c>
      <c r="G2" s="6" t="s">
        <v>41</v>
      </c>
      <c r="H2" s="6" t="s">
        <v>42</v>
      </c>
      <c r="I2" s="6" t="s">
        <v>43</v>
      </c>
      <c r="J2" s="6" t="s">
        <v>44</v>
      </c>
      <c r="K2" s="6" t="s">
        <v>45</v>
      </c>
      <c r="L2" s="6" t="s">
        <v>46</v>
      </c>
      <c r="M2" s="6" t="s">
        <v>47</v>
      </c>
      <c r="N2" s="6" t="s">
        <v>48</v>
      </c>
      <c r="O2" s="6" t="s">
        <v>49</v>
      </c>
      <c r="P2" s="6" t="s">
        <v>50</v>
      </c>
      <c r="Q2" s="6" t="s">
        <v>51</v>
      </c>
      <c r="R2" s="6" t="s">
        <v>52</v>
      </c>
      <c r="S2" s="6" t="s">
        <v>53</v>
      </c>
      <c r="T2" s="6" t="s">
        <v>54</v>
      </c>
      <c r="U2" s="6" t="s">
        <v>55</v>
      </c>
      <c r="V2" s="6" t="s">
        <v>56</v>
      </c>
      <c r="W2" s="6" t="s">
        <v>57</v>
      </c>
      <c r="X2" s="6" t="s">
        <v>58</v>
      </c>
    </row>
    <row r="3" spans="1:24" ht="99.75" customHeight="1" x14ac:dyDescent="0.2">
      <c r="A3" s="7" t="s">
        <v>59</v>
      </c>
      <c r="B3" s="8" t="s">
        <v>60</v>
      </c>
      <c r="C3" s="8" t="s">
        <v>61</v>
      </c>
      <c r="D3" s="8" t="s">
        <v>62</v>
      </c>
      <c r="E3" s="8" t="s">
        <v>63</v>
      </c>
      <c r="F3" s="8" t="s">
        <v>64</v>
      </c>
      <c r="G3" s="8" t="s">
        <v>65</v>
      </c>
      <c r="H3" s="8" t="s">
        <v>66</v>
      </c>
      <c r="I3" s="9">
        <v>5</v>
      </c>
      <c r="J3" s="9">
        <v>5</v>
      </c>
      <c r="K3" s="10">
        <f t="shared" ref="K3:K14" si="0">I3*J3</f>
        <v>25</v>
      </c>
      <c r="L3" s="11" t="s">
        <v>67</v>
      </c>
      <c r="M3" s="11" t="s">
        <v>68</v>
      </c>
      <c r="N3" s="8" t="s">
        <v>69</v>
      </c>
      <c r="O3" s="8" t="s">
        <v>70</v>
      </c>
      <c r="P3" s="8" t="s">
        <v>71</v>
      </c>
      <c r="Q3" s="8" t="s">
        <v>72</v>
      </c>
      <c r="R3" s="8" t="s">
        <v>73</v>
      </c>
      <c r="S3" s="8" t="s">
        <v>74</v>
      </c>
      <c r="T3" s="8" t="s">
        <v>75</v>
      </c>
      <c r="U3" s="8" t="s">
        <v>76</v>
      </c>
      <c r="V3" s="12" t="s">
        <v>77</v>
      </c>
      <c r="W3" s="8" t="s">
        <v>78</v>
      </c>
      <c r="X3" s="13" t="s">
        <v>298</v>
      </c>
    </row>
    <row r="4" spans="1:24" ht="99.75" customHeight="1" x14ac:dyDescent="0.2">
      <c r="A4" s="7" t="s">
        <v>79</v>
      </c>
      <c r="B4" s="14" t="s">
        <v>80</v>
      </c>
      <c r="C4" s="14" t="s">
        <v>81</v>
      </c>
      <c r="D4" s="14" t="s">
        <v>82</v>
      </c>
      <c r="E4" s="14" t="s">
        <v>83</v>
      </c>
      <c r="F4" s="14" t="s">
        <v>84</v>
      </c>
      <c r="G4" s="14" t="s">
        <v>85</v>
      </c>
      <c r="H4" s="14" t="s">
        <v>86</v>
      </c>
      <c r="I4" s="15">
        <v>5</v>
      </c>
      <c r="J4" s="15">
        <v>5</v>
      </c>
      <c r="K4" s="10">
        <f t="shared" si="0"/>
        <v>25</v>
      </c>
      <c r="L4" s="11" t="s">
        <v>67</v>
      </c>
      <c r="M4" s="11" t="s">
        <v>68</v>
      </c>
      <c r="N4" s="14" t="s">
        <v>87</v>
      </c>
      <c r="O4" s="14" t="s">
        <v>310</v>
      </c>
      <c r="P4" s="14" t="s">
        <v>312</v>
      </c>
      <c r="Q4" s="14" t="s">
        <v>88</v>
      </c>
      <c r="R4" s="14" t="s">
        <v>89</v>
      </c>
      <c r="S4" s="14" t="s">
        <v>90</v>
      </c>
      <c r="T4" s="14" t="s">
        <v>91</v>
      </c>
      <c r="U4" s="14" t="s">
        <v>92</v>
      </c>
      <c r="V4" s="16" t="s">
        <v>93</v>
      </c>
      <c r="W4" s="14" t="s">
        <v>94</v>
      </c>
      <c r="X4" s="13" t="s">
        <v>299</v>
      </c>
    </row>
    <row r="5" spans="1:24" ht="99.75" customHeight="1" x14ac:dyDescent="0.2">
      <c r="A5" s="7" t="s">
        <v>95</v>
      </c>
      <c r="B5" s="8" t="s">
        <v>96</v>
      </c>
      <c r="C5" s="8" t="s">
        <v>97</v>
      </c>
      <c r="D5" s="8" t="s">
        <v>98</v>
      </c>
      <c r="E5" s="8" t="s">
        <v>99</v>
      </c>
      <c r="F5" s="8" t="s">
        <v>100</v>
      </c>
      <c r="G5" s="8" t="s">
        <v>101</v>
      </c>
      <c r="H5" s="8" t="s">
        <v>313</v>
      </c>
      <c r="I5" s="9">
        <v>5</v>
      </c>
      <c r="J5" s="9">
        <v>5</v>
      </c>
      <c r="K5" s="10">
        <f t="shared" si="0"/>
        <v>25</v>
      </c>
      <c r="L5" s="11" t="s">
        <v>67</v>
      </c>
      <c r="M5" s="11" t="s">
        <v>68</v>
      </c>
      <c r="N5" s="8" t="s">
        <v>102</v>
      </c>
      <c r="O5" s="8" t="s">
        <v>311</v>
      </c>
      <c r="P5" s="8" t="s">
        <v>103</v>
      </c>
      <c r="Q5" s="8" t="s">
        <v>104</v>
      </c>
      <c r="R5" s="8" t="s">
        <v>105</v>
      </c>
      <c r="S5" s="8" t="s">
        <v>106</v>
      </c>
      <c r="T5" s="8" t="s">
        <v>107</v>
      </c>
      <c r="U5" s="8" t="s">
        <v>108</v>
      </c>
      <c r="V5" s="12" t="s">
        <v>109</v>
      </c>
      <c r="W5" s="8" t="s">
        <v>110</v>
      </c>
      <c r="X5" s="13" t="s">
        <v>300</v>
      </c>
    </row>
    <row r="6" spans="1:24" ht="112" customHeight="1" x14ac:dyDescent="0.2">
      <c r="A6" s="7" t="s">
        <v>111</v>
      </c>
      <c r="B6" s="14" t="s">
        <v>112</v>
      </c>
      <c r="C6" s="14" t="s">
        <v>113</v>
      </c>
      <c r="D6" s="14" t="s">
        <v>114</v>
      </c>
      <c r="E6" s="14" t="s">
        <v>99</v>
      </c>
      <c r="F6" s="14" t="s">
        <v>115</v>
      </c>
      <c r="G6" s="14" t="s">
        <v>116</v>
      </c>
      <c r="H6" s="14" t="s">
        <v>117</v>
      </c>
      <c r="I6" s="15">
        <v>5</v>
      </c>
      <c r="J6" s="15">
        <v>4</v>
      </c>
      <c r="K6" s="10">
        <f t="shared" si="0"/>
        <v>20</v>
      </c>
      <c r="L6" s="11" t="s">
        <v>67</v>
      </c>
      <c r="M6" s="11" t="s">
        <v>68</v>
      </c>
      <c r="N6" s="14" t="s">
        <v>118</v>
      </c>
      <c r="O6" s="14" t="s">
        <v>119</v>
      </c>
      <c r="P6" s="14" t="s">
        <v>314</v>
      </c>
      <c r="Q6" s="14" t="s">
        <v>120</v>
      </c>
      <c r="R6" s="14" t="s">
        <v>121</v>
      </c>
      <c r="S6" s="14" t="s">
        <v>122</v>
      </c>
      <c r="T6" s="14" t="s">
        <v>123</v>
      </c>
      <c r="U6" s="14" t="s">
        <v>124</v>
      </c>
      <c r="V6" s="16" t="s">
        <v>125</v>
      </c>
      <c r="W6" s="14" t="s">
        <v>126</v>
      </c>
      <c r="X6" s="13" t="s">
        <v>301</v>
      </c>
    </row>
    <row r="7" spans="1:24" ht="99.75" customHeight="1" x14ac:dyDescent="0.2">
      <c r="A7" s="7" t="s">
        <v>127</v>
      </c>
      <c r="B7" s="8" t="s">
        <v>128</v>
      </c>
      <c r="C7" s="8" t="s">
        <v>329</v>
      </c>
      <c r="D7" s="8" t="s">
        <v>129</v>
      </c>
      <c r="E7" s="8" t="s">
        <v>63</v>
      </c>
      <c r="F7" s="8" t="s">
        <v>130</v>
      </c>
      <c r="G7" s="8" t="s">
        <v>131</v>
      </c>
      <c r="H7" s="8" t="s">
        <v>132</v>
      </c>
      <c r="I7" s="9">
        <v>4</v>
      </c>
      <c r="J7" s="9">
        <v>5</v>
      </c>
      <c r="K7" s="10">
        <f t="shared" si="0"/>
        <v>20</v>
      </c>
      <c r="L7" s="11" t="s">
        <v>67</v>
      </c>
      <c r="M7" s="11" t="s">
        <v>68</v>
      </c>
      <c r="N7" s="8" t="s">
        <v>133</v>
      </c>
      <c r="O7" s="8" t="s">
        <v>134</v>
      </c>
      <c r="P7" s="8" t="s">
        <v>315</v>
      </c>
      <c r="Q7" s="8" t="s">
        <v>135</v>
      </c>
      <c r="R7" s="8" t="s">
        <v>136</v>
      </c>
      <c r="S7" s="8" t="s">
        <v>137</v>
      </c>
      <c r="T7" s="8" t="s">
        <v>138</v>
      </c>
      <c r="U7" s="8" t="s">
        <v>139</v>
      </c>
      <c r="V7" s="12" t="s">
        <v>140</v>
      </c>
      <c r="W7" s="8" t="s">
        <v>141</v>
      </c>
      <c r="X7" s="13" t="s">
        <v>302</v>
      </c>
    </row>
    <row r="8" spans="1:24" ht="99.75" customHeight="1" x14ac:dyDescent="0.2">
      <c r="A8" s="7" t="s">
        <v>142</v>
      </c>
      <c r="B8" s="14" t="s">
        <v>143</v>
      </c>
      <c r="C8" s="14" t="s">
        <v>144</v>
      </c>
      <c r="D8" s="14" t="s">
        <v>145</v>
      </c>
      <c r="E8" s="14" t="s">
        <v>146</v>
      </c>
      <c r="F8" s="14" t="s">
        <v>147</v>
      </c>
      <c r="G8" s="14" t="s">
        <v>148</v>
      </c>
      <c r="H8" s="14" t="s">
        <v>149</v>
      </c>
      <c r="I8" s="15">
        <v>3</v>
      </c>
      <c r="J8" s="15">
        <v>5</v>
      </c>
      <c r="K8" s="10">
        <f t="shared" si="0"/>
        <v>15</v>
      </c>
      <c r="L8" s="17" t="s">
        <v>150</v>
      </c>
      <c r="M8" s="11" t="s">
        <v>68</v>
      </c>
      <c r="N8" s="14" t="s">
        <v>151</v>
      </c>
      <c r="O8" s="14" t="s">
        <v>152</v>
      </c>
      <c r="P8" s="14" t="s">
        <v>316</v>
      </c>
      <c r="Q8" s="14" t="s">
        <v>153</v>
      </c>
      <c r="R8" s="14" t="s">
        <v>154</v>
      </c>
      <c r="S8" s="14" t="s">
        <v>155</v>
      </c>
      <c r="T8" s="14" t="s">
        <v>156</v>
      </c>
      <c r="U8" s="14" t="s">
        <v>157</v>
      </c>
      <c r="V8" s="16" t="s">
        <v>158</v>
      </c>
      <c r="W8" s="14" t="s">
        <v>159</v>
      </c>
      <c r="X8" s="13" t="s">
        <v>303</v>
      </c>
    </row>
    <row r="9" spans="1:24" ht="99.75" customHeight="1" x14ac:dyDescent="0.2">
      <c r="A9" s="7" t="s">
        <v>160</v>
      </c>
      <c r="B9" s="8" t="s">
        <v>161</v>
      </c>
      <c r="C9" s="8" t="s">
        <v>162</v>
      </c>
      <c r="D9" s="8" t="s">
        <v>129</v>
      </c>
      <c r="E9" s="8" t="s">
        <v>163</v>
      </c>
      <c r="F9" s="8" t="s">
        <v>84</v>
      </c>
      <c r="G9" s="8" t="s">
        <v>164</v>
      </c>
      <c r="H9" s="8" t="s">
        <v>165</v>
      </c>
      <c r="I9" s="9">
        <v>5</v>
      </c>
      <c r="J9" s="9">
        <v>4</v>
      </c>
      <c r="K9" s="10">
        <f t="shared" si="0"/>
        <v>20</v>
      </c>
      <c r="L9" s="11" t="s">
        <v>67</v>
      </c>
      <c r="M9" s="18" t="s">
        <v>166</v>
      </c>
      <c r="N9" s="8" t="s">
        <v>167</v>
      </c>
      <c r="O9" s="8" t="s">
        <v>168</v>
      </c>
      <c r="P9" s="8" t="s">
        <v>169</v>
      </c>
      <c r="Q9" s="8" t="s">
        <v>170</v>
      </c>
      <c r="R9" s="8" t="s">
        <v>171</v>
      </c>
      <c r="S9" s="8" t="s">
        <v>172</v>
      </c>
      <c r="T9" s="8" t="s">
        <v>173</v>
      </c>
      <c r="U9" s="8" t="s">
        <v>174</v>
      </c>
      <c r="V9" s="12" t="s">
        <v>175</v>
      </c>
      <c r="W9" s="8" t="s">
        <v>176</v>
      </c>
      <c r="X9" s="13" t="s">
        <v>304</v>
      </c>
    </row>
    <row r="10" spans="1:24" ht="99.75" customHeight="1" x14ac:dyDescent="0.2">
      <c r="A10" s="7" t="s">
        <v>177</v>
      </c>
      <c r="B10" s="14" t="s">
        <v>178</v>
      </c>
      <c r="C10" s="14" t="s">
        <v>179</v>
      </c>
      <c r="D10" s="14" t="s">
        <v>180</v>
      </c>
      <c r="E10" s="14" t="s">
        <v>181</v>
      </c>
      <c r="F10" s="14" t="s">
        <v>182</v>
      </c>
      <c r="G10" s="14" t="s">
        <v>183</v>
      </c>
      <c r="H10" s="14" t="s">
        <v>184</v>
      </c>
      <c r="I10" s="15">
        <v>4</v>
      </c>
      <c r="J10" s="15">
        <v>5</v>
      </c>
      <c r="K10" s="10">
        <f t="shared" si="0"/>
        <v>20</v>
      </c>
      <c r="L10" s="11" t="s">
        <v>67</v>
      </c>
      <c r="M10" s="11" t="s">
        <v>68</v>
      </c>
      <c r="N10" s="14" t="s">
        <v>102</v>
      </c>
      <c r="O10" s="14" t="s">
        <v>317</v>
      </c>
      <c r="P10" s="14" t="s">
        <v>185</v>
      </c>
      <c r="Q10" s="14" t="s">
        <v>186</v>
      </c>
      <c r="R10" s="14" t="s">
        <v>187</v>
      </c>
      <c r="S10" s="14" t="s">
        <v>188</v>
      </c>
      <c r="T10" s="14" t="s">
        <v>189</v>
      </c>
      <c r="U10" s="14" t="s">
        <v>190</v>
      </c>
      <c r="V10" s="16" t="s">
        <v>191</v>
      </c>
      <c r="W10" s="14" t="s">
        <v>192</v>
      </c>
      <c r="X10" s="13" t="s">
        <v>305</v>
      </c>
    </row>
    <row r="11" spans="1:24" ht="99.75" customHeight="1" x14ac:dyDescent="0.2">
      <c r="A11" s="7" t="s">
        <v>193</v>
      </c>
      <c r="B11" s="8" t="s">
        <v>194</v>
      </c>
      <c r="C11" s="8" t="s">
        <v>195</v>
      </c>
      <c r="D11" s="8" t="s">
        <v>196</v>
      </c>
      <c r="E11" s="8" t="s">
        <v>197</v>
      </c>
      <c r="F11" s="8" t="s">
        <v>198</v>
      </c>
      <c r="G11" s="8" t="s">
        <v>199</v>
      </c>
      <c r="H11" s="8" t="s">
        <v>200</v>
      </c>
      <c r="I11" s="9">
        <v>4</v>
      </c>
      <c r="J11" s="9">
        <v>4</v>
      </c>
      <c r="K11" s="10">
        <f t="shared" si="0"/>
        <v>16</v>
      </c>
      <c r="L11" s="17" t="s">
        <v>150</v>
      </c>
      <c r="M11" s="18" t="s">
        <v>166</v>
      </c>
      <c r="N11" s="8" t="s">
        <v>201</v>
      </c>
      <c r="O11" s="8" t="s">
        <v>318</v>
      </c>
      <c r="P11" s="8" t="s">
        <v>202</v>
      </c>
      <c r="Q11" s="8" t="s">
        <v>203</v>
      </c>
      <c r="R11" s="8" t="s">
        <v>204</v>
      </c>
      <c r="S11" s="8" t="s">
        <v>205</v>
      </c>
      <c r="T11" s="8" t="s">
        <v>206</v>
      </c>
      <c r="U11" s="8" t="s">
        <v>207</v>
      </c>
      <c r="V11" s="12" t="s">
        <v>208</v>
      </c>
      <c r="W11" s="8" t="s">
        <v>141</v>
      </c>
      <c r="X11" s="13" t="s">
        <v>306</v>
      </c>
    </row>
    <row r="12" spans="1:24" ht="99.75" customHeight="1" x14ac:dyDescent="0.2">
      <c r="A12" s="7" t="s">
        <v>209</v>
      </c>
      <c r="B12" s="14" t="s">
        <v>210</v>
      </c>
      <c r="C12" s="14" t="s">
        <v>211</v>
      </c>
      <c r="D12" s="14" t="s">
        <v>212</v>
      </c>
      <c r="E12" s="14" t="s">
        <v>83</v>
      </c>
      <c r="F12" s="14" t="s">
        <v>213</v>
      </c>
      <c r="G12" s="14" t="s">
        <v>214</v>
      </c>
      <c r="H12" s="14" t="s">
        <v>215</v>
      </c>
      <c r="I12" s="15">
        <v>5</v>
      </c>
      <c r="J12" s="15">
        <v>4</v>
      </c>
      <c r="K12" s="10">
        <f t="shared" si="0"/>
        <v>20</v>
      </c>
      <c r="L12" s="11" t="s">
        <v>67</v>
      </c>
      <c r="M12" s="18" t="s">
        <v>166</v>
      </c>
      <c r="N12" s="14" t="s">
        <v>216</v>
      </c>
      <c r="O12" s="14" t="s">
        <v>217</v>
      </c>
      <c r="P12" s="14" t="s">
        <v>218</v>
      </c>
      <c r="Q12" s="14" t="s">
        <v>219</v>
      </c>
      <c r="R12" s="14" t="s">
        <v>220</v>
      </c>
      <c r="S12" s="14" t="s">
        <v>221</v>
      </c>
      <c r="T12" s="14" t="s">
        <v>222</v>
      </c>
      <c r="U12" s="14" t="s">
        <v>223</v>
      </c>
      <c r="V12" s="16" t="s">
        <v>224</v>
      </c>
      <c r="W12" s="14" t="s">
        <v>225</v>
      </c>
      <c r="X12" s="13" t="s">
        <v>307</v>
      </c>
    </row>
    <row r="13" spans="1:24" ht="99.75" customHeight="1" x14ac:dyDescent="0.2">
      <c r="A13" s="7" t="s">
        <v>226</v>
      </c>
      <c r="B13" s="8" t="s">
        <v>227</v>
      </c>
      <c r="C13" s="8" t="s">
        <v>228</v>
      </c>
      <c r="D13" s="8" t="s">
        <v>62</v>
      </c>
      <c r="E13" s="8" t="s">
        <v>83</v>
      </c>
      <c r="F13" s="8" t="s">
        <v>229</v>
      </c>
      <c r="G13" s="8" t="s">
        <v>230</v>
      </c>
      <c r="H13" s="8" t="s">
        <v>231</v>
      </c>
      <c r="I13" s="9">
        <v>4</v>
      </c>
      <c r="J13" s="9">
        <v>4</v>
      </c>
      <c r="K13" s="10">
        <f t="shared" si="0"/>
        <v>16</v>
      </c>
      <c r="L13" s="17" t="s">
        <v>150</v>
      </c>
      <c r="M13" s="11" t="s">
        <v>68</v>
      </c>
      <c r="N13" s="8" t="s">
        <v>232</v>
      </c>
      <c r="O13" s="8" t="s">
        <v>233</v>
      </c>
      <c r="P13" s="8" t="s">
        <v>319</v>
      </c>
      <c r="Q13" s="8" t="s">
        <v>234</v>
      </c>
      <c r="R13" s="8" t="s">
        <v>235</v>
      </c>
      <c r="S13" s="8" t="s">
        <v>236</v>
      </c>
      <c r="T13" s="8" t="s">
        <v>237</v>
      </c>
      <c r="U13" s="8" t="s">
        <v>238</v>
      </c>
      <c r="V13" s="12" t="s">
        <v>239</v>
      </c>
      <c r="W13" s="8" t="s">
        <v>240</v>
      </c>
      <c r="X13" s="13" t="s">
        <v>308</v>
      </c>
    </row>
    <row r="14" spans="1:24" ht="99.75" customHeight="1" x14ac:dyDescent="0.2">
      <c r="A14" s="7" t="s">
        <v>241</v>
      </c>
      <c r="B14" s="14" t="s">
        <v>242</v>
      </c>
      <c r="C14" s="14" t="s">
        <v>320</v>
      </c>
      <c r="D14" s="14" t="s">
        <v>243</v>
      </c>
      <c r="E14" s="14" t="s">
        <v>99</v>
      </c>
      <c r="F14" s="14" t="s">
        <v>244</v>
      </c>
      <c r="G14" s="14" t="s">
        <v>245</v>
      </c>
      <c r="H14" s="14" t="s">
        <v>246</v>
      </c>
      <c r="I14" s="15">
        <v>4</v>
      </c>
      <c r="J14" s="15">
        <v>4</v>
      </c>
      <c r="K14" s="10">
        <f t="shared" si="0"/>
        <v>16</v>
      </c>
      <c r="L14" s="17" t="s">
        <v>150</v>
      </c>
      <c r="M14" s="18" t="s">
        <v>166</v>
      </c>
      <c r="N14" s="14" t="s">
        <v>247</v>
      </c>
      <c r="O14" s="14" t="s">
        <v>248</v>
      </c>
      <c r="P14" s="14" t="s">
        <v>249</v>
      </c>
      <c r="Q14" s="14" t="s">
        <v>250</v>
      </c>
      <c r="R14" s="14" t="s">
        <v>251</v>
      </c>
      <c r="S14" s="14" t="s">
        <v>252</v>
      </c>
      <c r="T14" s="14" t="s">
        <v>253</v>
      </c>
      <c r="U14" s="14" t="s">
        <v>254</v>
      </c>
      <c r="V14" s="16" t="s">
        <v>255</v>
      </c>
      <c r="W14" s="14" t="s">
        <v>192</v>
      </c>
      <c r="X14" s="13" t="s">
        <v>309</v>
      </c>
    </row>
    <row r="16" spans="1:24" ht="21.75" customHeight="1" x14ac:dyDescent="0.2">
      <c r="A16" s="35" t="s">
        <v>256</v>
      </c>
      <c r="B16" s="30"/>
      <c r="C16" s="30"/>
      <c r="D16" s="26"/>
    </row>
    <row r="17" spans="1:24" ht="18" customHeight="1" x14ac:dyDescent="0.2">
      <c r="A17" s="32" t="s">
        <v>257</v>
      </c>
      <c r="B17" s="30"/>
      <c r="C17" s="30"/>
      <c r="D17" s="26"/>
    </row>
    <row r="18" spans="1:24" ht="18" customHeight="1" x14ac:dyDescent="0.2">
      <c r="A18" s="33" t="s">
        <v>258</v>
      </c>
      <c r="B18" s="30"/>
      <c r="C18" s="30"/>
      <c r="D18" s="26"/>
    </row>
    <row r="19" spans="1:24" ht="18" customHeight="1" x14ac:dyDescent="0.2">
      <c r="A19" s="36" t="s">
        <v>259</v>
      </c>
      <c r="B19" s="30"/>
      <c r="C19" s="30"/>
      <c r="D19" s="26"/>
    </row>
    <row r="20" spans="1:24" ht="18" customHeight="1" x14ac:dyDescent="0.2">
      <c r="A20" s="34" t="s">
        <v>260</v>
      </c>
      <c r="B20" s="30"/>
      <c r="C20" s="30"/>
      <c r="D20" s="26"/>
    </row>
    <row r="22" spans="1:24" ht="108" customHeight="1" x14ac:dyDescent="0.2">
      <c r="A22" s="31" t="s">
        <v>321</v>
      </c>
      <c r="B22" s="30"/>
      <c r="C22" s="30"/>
      <c r="D22" s="30"/>
      <c r="E22" s="30"/>
      <c r="F22" s="30"/>
      <c r="G22" s="30"/>
      <c r="H22" s="30"/>
      <c r="I22" s="30"/>
      <c r="J22" s="30"/>
      <c r="K22" s="30"/>
      <c r="L22" s="30"/>
      <c r="M22" s="30"/>
      <c r="N22" s="30"/>
      <c r="O22" s="30"/>
      <c r="P22" s="30"/>
      <c r="Q22" s="30"/>
      <c r="R22" s="30"/>
      <c r="S22" s="30"/>
      <c r="T22" s="30"/>
      <c r="U22" s="30"/>
      <c r="V22" s="30"/>
      <c r="W22" s="30"/>
      <c r="X22" s="26"/>
    </row>
  </sheetData>
  <mergeCells count="7">
    <mergeCell ref="A1:X1"/>
    <mergeCell ref="A22:X22"/>
    <mergeCell ref="A17:D17"/>
    <mergeCell ref="A18:D18"/>
    <mergeCell ref="A20:D20"/>
    <mergeCell ref="A16:D16"/>
    <mergeCell ref="A19:D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showGridLines="0" zoomScale="144" zoomScaleNormal="100" workbookViewId="0">
      <selection sqref="A1:F1"/>
    </sheetView>
  </sheetViews>
  <sheetFormatPr baseColWidth="10" defaultColWidth="8.6640625" defaultRowHeight="15" x14ac:dyDescent="0.2"/>
  <cols>
    <col min="1" max="1" width="8" customWidth="1"/>
    <col min="2" max="2" width="30" customWidth="1"/>
    <col min="3" max="4" width="45" customWidth="1"/>
    <col min="5" max="5" width="18" customWidth="1"/>
    <col min="6" max="6" width="35" customWidth="1"/>
  </cols>
  <sheetData>
    <row r="1" spans="1:6" ht="27.75" customHeight="1" x14ac:dyDescent="0.2">
      <c r="A1" s="29" t="s">
        <v>330</v>
      </c>
      <c r="B1" s="30"/>
      <c r="C1" s="30"/>
      <c r="D1" s="30"/>
      <c r="E1" s="30"/>
      <c r="F1" s="26"/>
    </row>
    <row r="2" spans="1:6" ht="24" customHeight="1" x14ac:dyDescent="0.2">
      <c r="A2" s="19" t="s">
        <v>261</v>
      </c>
      <c r="B2" s="19" t="s">
        <v>262</v>
      </c>
      <c r="C2" s="19" t="s">
        <v>263</v>
      </c>
      <c r="D2" s="19" t="s">
        <v>264</v>
      </c>
      <c r="E2" s="19" t="s">
        <v>265</v>
      </c>
      <c r="F2" s="19" t="s">
        <v>266</v>
      </c>
    </row>
    <row r="3" spans="1:6" ht="67.5" customHeight="1" x14ac:dyDescent="0.2">
      <c r="A3" s="20" t="s">
        <v>267</v>
      </c>
      <c r="B3" s="8" t="s">
        <v>268</v>
      </c>
      <c r="C3" s="8" t="s">
        <v>269</v>
      </c>
      <c r="D3" s="8" t="s">
        <v>322</v>
      </c>
      <c r="E3" s="20" t="s">
        <v>270</v>
      </c>
      <c r="F3" s="21" t="s">
        <v>271</v>
      </c>
    </row>
    <row r="4" spans="1:6" ht="67.5" customHeight="1" x14ac:dyDescent="0.2">
      <c r="A4" s="22" t="s">
        <v>272</v>
      </c>
      <c r="B4" s="14" t="s">
        <v>273</v>
      </c>
      <c r="C4" s="14" t="s">
        <v>274</v>
      </c>
      <c r="D4" s="14" t="s">
        <v>323</v>
      </c>
      <c r="E4" s="22" t="s">
        <v>270</v>
      </c>
      <c r="F4" s="23" t="s">
        <v>275</v>
      </c>
    </row>
    <row r="5" spans="1:6" ht="67.5" customHeight="1" x14ac:dyDescent="0.2">
      <c r="A5" s="20" t="s">
        <v>276</v>
      </c>
      <c r="B5" s="8" t="s">
        <v>277</v>
      </c>
      <c r="C5" s="8" t="s">
        <v>278</v>
      </c>
      <c r="D5" s="8" t="s">
        <v>324</v>
      </c>
      <c r="E5" s="20" t="s">
        <v>279</v>
      </c>
      <c r="F5" s="21" t="s">
        <v>280</v>
      </c>
    </row>
    <row r="6" spans="1:6" ht="67.5" customHeight="1" x14ac:dyDescent="0.2">
      <c r="A6" s="22" t="s">
        <v>281</v>
      </c>
      <c r="B6" s="14" t="s">
        <v>282</v>
      </c>
      <c r="C6" s="14" t="s">
        <v>325</v>
      </c>
      <c r="D6" s="14" t="s">
        <v>326</v>
      </c>
      <c r="E6" s="24" t="s">
        <v>283</v>
      </c>
      <c r="F6" s="23" t="s">
        <v>284</v>
      </c>
    </row>
    <row r="7" spans="1:6" ht="67.5" customHeight="1" x14ac:dyDescent="0.2">
      <c r="A7" s="20" t="s">
        <v>285</v>
      </c>
      <c r="B7" s="8" t="s">
        <v>286</v>
      </c>
      <c r="C7" s="8" t="s">
        <v>287</v>
      </c>
      <c r="D7" s="8" t="s">
        <v>327</v>
      </c>
      <c r="E7" s="20" t="s">
        <v>288</v>
      </c>
      <c r="F7" s="21" t="s">
        <v>289</v>
      </c>
    </row>
    <row r="8" spans="1:6" ht="67.5" customHeight="1" x14ac:dyDescent="0.2">
      <c r="A8" s="22" t="s">
        <v>290</v>
      </c>
      <c r="B8" s="14" t="s">
        <v>291</v>
      </c>
      <c r="C8" s="14" t="s">
        <v>292</v>
      </c>
      <c r="D8" s="14" t="s">
        <v>328</v>
      </c>
      <c r="E8" s="22" t="s">
        <v>293</v>
      </c>
      <c r="F8" s="23" t="s">
        <v>294</v>
      </c>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Cover</vt:lpstr>
      <vt:lpstr>B1 Governance Risk Register</vt:lpstr>
      <vt:lpstr>Assumptions Register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Goodman</dc:creator>
  <cp:keywords/>
  <dc:description/>
  <cp:lastModifiedBy>Kirsten Goodman</cp:lastModifiedBy>
  <cp:revision>0</cp:revision>
  <dcterms:created xsi:type="dcterms:W3CDTF">2026-05-27T18:45:30Z</dcterms:created>
  <dcterms:modified xsi:type="dcterms:W3CDTF">2026-05-28T13:27:00Z</dcterms:modified>
  <cp:category/>
  <dc:language>en-US</dc:language>
</cp:coreProperties>
</file>